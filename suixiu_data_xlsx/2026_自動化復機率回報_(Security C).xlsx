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9745\Desktop\歲修\"/>
    </mc:Choice>
  </mc:AlternateContent>
  <xr:revisionPtr revIDLastSave="0" documentId="13_ncr:1_{2CF0D15C-1316-4C6B-AC73-F66040B3F6AE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工作表1" sheetId="2" state="hidden" r:id="rId1"/>
    <sheet name="彙整資料" sheetId="3" r:id="rId2"/>
    <sheet name="妥善率(K18.K21.K25 不停電)" sheetId="6" r:id="rId3"/>
    <sheet name="百分比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6" l="1"/>
  <c r="G2" i="6"/>
  <c r="P6" i="3" s="1"/>
  <c r="E44" i="3"/>
  <c r="E45" i="3"/>
  <c r="E43" i="3"/>
  <c r="E37" i="3"/>
  <c r="E36" i="3"/>
  <c r="E35" i="3"/>
  <c r="E34" i="3"/>
  <c r="E33" i="3"/>
  <c r="E22" i="3"/>
  <c r="E21" i="3"/>
  <c r="E20" i="3"/>
  <c r="E19" i="3"/>
  <c r="E18" i="3"/>
  <c r="E17" i="3"/>
  <c r="O4" i="6" l="1"/>
  <c r="W4" i="6"/>
  <c r="G8" i="6"/>
  <c r="G12" i="6"/>
  <c r="O13" i="6"/>
  <c r="W15" i="6"/>
  <c r="G17" i="6"/>
  <c r="O18" i="6"/>
  <c r="W19" i="6"/>
  <c r="W21" i="6"/>
  <c r="O23" i="6"/>
  <c r="W24" i="6"/>
  <c r="O25" i="6"/>
  <c r="G26" i="6"/>
  <c r="W26" i="6"/>
  <c r="G30" i="6"/>
  <c r="G32" i="6"/>
  <c r="G35" i="6"/>
  <c r="W35" i="6"/>
  <c r="G38" i="6"/>
  <c r="AE32" i="6" l="1"/>
  <c r="AE11" i="6"/>
  <c r="G134" i="6" l="1"/>
  <c r="G128" i="6"/>
  <c r="G124" i="6"/>
  <c r="G111" i="6"/>
  <c r="G98" i="6"/>
  <c r="G87" i="6"/>
  <c r="G84" i="6"/>
  <c r="G79" i="6"/>
  <c r="G74" i="6"/>
  <c r="G61" i="6"/>
  <c r="G57" i="6"/>
  <c r="G45" i="6"/>
  <c r="G40" i="6"/>
  <c r="AE37" i="6"/>
  <c r="AE29" i="6"/>
  <c r="AE27" i="6"/>
  <c r="AE23" i="6"/>
  <c r="AE17" i="6"/>
  <c r="AE14" i="6"/>
  <c r="AE9" i="6"/>
  <c r="AE7" i="6"/>
  <c r="AE6" i="6"/>
  <c r="AE5" i="6"/>
  <c r="AE4" i="6"/>
  <c r="AE2" i="6"/>
  <c r="W2" i="6"/>
  <c r="P13" i="3" s="1"/>
  <c r="O2" i="6"/>
  <c r="E56" i="3" l="1"/>
  <c r="E49" i="3"/>
  <c r="E26" i="3"/>
  <c r="E57" i="3" l="1"/>
  <c r="E55" i="3"/>
  <c r="E54" i="3"/>
  <c r="E53" i="3"/>
  <c r="E52" i="3"/>
  <c r="E51" i="3"/>
  <c r="E50" i="3"/>
  <c r="E48" i="3"/>
  <c r="E47" i="3"/>
  <c r="E46" i="3"/>
  <c r="E42" i="3"/>
  <c r="E41" i="3"/>
  <c r="E40" i="3"/>
  <c r="E39" i="3"/>
  <c r="J35" i="3" s="1"/>
  <c r="E38" i="3"/>
  <c r="E32" i="3"/>
  <c r="E31" i="3"/>
  <c r="E30" i="3"/>
  <c r="E27" i="3"/>
  <c r="E25" i="3"/>
  <c r="E24" i="3"/>
  <c r="E23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58" i="3" l="1"/>
  <c r="J30" i="3"/>
  <c r="J42" i="3"/>
  <c r="E28" i="3"/>
  <c r="J4" i="3"/>
  <c r="Q13" i="3" l="1"/>
  <c r="P12" i="3" l="1"/>
  <c r="Q12" i="3" s="1"/>
  <c r="P14" i="3"/>
  <c r="Q14" i="3" s="1"/>
  <c r="Q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(ಠ_ಠ)"</author>
  </authors>
  <commentList>
    <comment ref="V16" authorId="0" shapeId="0" xr:uid="{00000000-0006-0000-0200-000001000000}">
      <text>
        <r>
          <rPr>
            <b/>
            <sz val="18"/>
            <color indexed="81"/>
            <rFont val="細明體"/>
            <family val="3"/>
            <charset val="136"/>
          </rPr>
          <t>總數量3個的換盒機構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8"/>
            <color indexed="81"/>
            <rFont val="細明體"/>
            <family val="3"/>
            <charset val="136"/>
          </rPr>
          <t>停一台(一邊)應該是0.5吧…?</t>
        </r>
      </text>
    </comment>
  </commentList>
</comments>
</file>

<file path=xl/sharedStrings.xml><?xml version="1.0" encoding="utf-8"?>
<sst xmlns="http://schemas.openxmlformats.org/spreadsheetml/2006/main" count="654" uniqueCount="238">
  <si>
    <t>K11-3F</t>
    <phoneticPr fontId="18" type="noConversion"/>
  </si>
  <si>
    <t>法蘭科手臂</t>
    <phoneticPr fontId="18" type="noConversion"/>
  </si>
  <si>
    <t>入料流道</t>
    <phoneticPr fontId="18" type="noConversion"/>
  </si>
  <si>
    <t>一座</t>
    <phoneticPr fontId="18" type="noConversion"/>
  </si>
  <si>
    <t>Reject儲格</t>
    <phoneticPr fontId="18" type="noConversion"/>
  </si>
  <si>
    <t>K11-4F</t>
    <phoneticPr fontId="18" type="noConversion"/>
  </si>
  <si>
    <t>K11-5F</t>
    <phoneticPr fontId="18" type="noConversion"/>
  </si>
  <si>
    <t>2座</t>
    <phoneticPr fontId="18" type="noConversion"/>
  </si>
  <si>
    <t>入料WIP</t>
    <phoneticPr fontId="18" type="noConversion"/>
  </si>
  <si>
    <t>WIP手臂</t>
    <phoneticPr fontId="18" type="noConversion"/>
  </si>
  <si>
    <t>2支</t>
    <phoneticPr fontId="18" type="noConversion"/>
  </si>
  <si>
    <t>跨樓層</t>
    <phoneticPr fontId="18" type="noConversion"/>
  </si>
  <si>
    <t>KUKA手臂</t>
    <phoneticPr fontId="18" type="noConversion"/>
  </si>
  <si>
    <t>入料台車</t>
    <phoneticPr fontId="18" type="noConversion"/>
  </si>
  <si>
    <t>4座</t>
    <phoneticPr fontId="18" type="noConversion"/>
  </si>
  <si>
    <t>移載手臂</t>
    <phoneticPr fontId="18" type="noConversion"/>
  </si>
  <si>
    <t>出料台車</t>
    <phoneticPr fontId="18" type="noConversion"/>
  </si>
  <si>
    <t>出料流道</t>
    <phoneticPr fontId="18" type="noConversion"/>
  </si>
  <si>
    <t>DryRoom</t>
    <phoneticPr fontId="18" type="noConversion"/>
  </si>
  <si>
    <t>DryRoom手臂</t>
    <phoneticPr fontId="18" type="noConversion"/>
  </si>
  <si>
    <t>橫向機構</t>
    <phoneticPr fontId="18" type="noConversion"/>
  </si>
  <si>
    <t>1座</t>
    <phoneticPr fontId="18" type="noConversion"/>
  </si>
  <si>
    <t>換盒機構</t>
    <phoneticPr fontId="18" type="noConversion"/>
  </si>
  <si>
    <t>3390/上貨區</t>
    <phoneticPr fontId="18" type="noConversion"/>
  </si>
  <si>
    <t>儲格</t>
    <phoneticPr fontId="18" type="noConversion"/>
  </si>
  <si>
    <t>放貨區</t>
    <phoneticPr fontId="18" type="noConversion"/>
  </si>
  <si>
    <t>3400/水珠角</t>
    <phoneticPr fontId="18" type="noConversion"/>
  </si>
  <si>
    <t>天車</t>
    <phoneticPr fontId="18" type="noConversion"/>
  </si>
  <si>
    <t>天車</t>
    <phoneticPr fontId="18" type="noConversion"/>
  </si>
  <si>
    <t>K11-6F</t>
    <phoneticPr fontId="18" type="noConversion"/>
  </si>
  <si>
    <t>LD</t>
    <phoneticPr fontId="18" type="noConversion"/>
  </si>
  <si>
    <t>ULD</t>
    <phoneticPr fontId="18" type="noConversion"/>
  </si>
  <si>
    <t>高空流道</t>
    <phoneticPr fontId="18" type="noConversion"/>
  </si>
  <si>
    <t>移載手臂</t>
    <phoneticPr fontId="18" type="noConversion"/>
  </si>
  <si>
    <t>WIP</t>
    <phoneticPr fontId="18" type="noConversion"/>
  </si>
  <si>
    <t>入料龍門</t>
    <phoneticPr fontId="18" type="noConversion"/>
  </si>
  <si>
    <t>出料龍門</t>
    <phoneticPr fontId="18" type="noConversion"/>
  </si>
  <si>
    <t>移載手臂</t>
    <phoneticPr fontId="18" type="noConversion"/>
  </si>
  <si>
    <t>DryRoom入料流道</t>
    <phoneticPr fontId="18" type="noConversion"/>
  </si>
  <si>
    <t>DryRoom入料口</t>
    <phoneticPr fontId="18" type="noConversion"/>
  </si>
  <si>
    <t>DryRoom出料口</t>
    <phoneticPr fontId="18" type="noConversion"/>
  </si>
  <si>
    <t>DryRoom手投區</t>
    <phoneticPr fontId="18" type="noConversion"/>
  </si>
  <si>
    <t>換盒機構</t>
    <phoneticPr fontId="18" type="noConversion"/>
  </si>
  <si>
    <t>4座</t>
    <phoneticPr fontId="18" type="noConversion"/>
  </si>
  <si>
    <t>移載台車</t>
    <phoneticPr fontId="18" type="noConversion"/>
  </si>
  <si>
    <t>K11-8F</t>
    <phoneticPr fontId="18" type="noConversion"/>
  </si>
  <si>
    <t>2座</t>
    <phoneticPr fontId="18" type="noConversion"/>
  </si>
  <si>
    <t>2座</t>
    <phoneticPr fontId="18" type="noConversion"/>
  </si>
  <si>
    <t>出料台車</t>
    <phoneticPr fontId="18" type="noConversion"/>
  </si>
  <si>
    <t>高空入料</t>
    <phoneticPr fontId="18" type="noConversion"/>
  </si>
  <si>
    <t>DryRoom手投區</t>
    <phoneticPr fontId="18" type="noConversion"/>
  </si>
  <si>
    <t>DryRoom退盒區</t>
    <phoneticPr fontId="18" type="noConversion"/>
  </si>
  <si>
    <t>DryRoomWIP</t>
    <phoneticPr fontId="18" type="noConversion"/>
  </si>
  <si>
    <t>移載手臂</t>
    <phoneticPr fontId="18" type="noConversion"/>
  </si>
  <si>
    <t>移載台車</t>
    <phoneticPr fontId="18" type="noConversion"/>
  </si>
  <si>
    <t>DryRoom移載手臂</t>
    <phoneticPr fontId="18" type="noConversion"/>
  </si>
  <si>
    <t>DryRoom出料流道</t>
    <phoneticPr fontId="18" type="noConversion"/>
  </si>
  <si>
    <t>入料流道</t>
    <phoneticPr fontId="18" type="noConversion"/>
  </si>
  <si>
    <t>換盒機構</t>
    <phoneticPr fontId="18" type="noConversion"/>
  </si>
  <si>
    <t>10座</t>
    <phoneticPr fontId="18" type="noConversion"/>
  </si>
  <si>
    <t>3800退盒區</t>
    <phoneticPr fontId="18" type="noConversion"/>
  </si>
  <si>
    <t>入料手投區</t>
    <phoneticPr fontId="18" type="noConversion"/>
  </si>
  <si>
    <t>入料移載手臂</t>
    <phoneticPr fontId="18" type="noConversion"/>
  </si>
  <si>
    <t>4507退盒區</t>
    <phoneticPr fontId="18" type="noConversion"/>
  </si>
  <si>
    <t>4507天車</t>
    <phoneticPr fontId="18" type="noConversion"/>
  </si>
  <si>
    <t>出料Lift</t>
    <phoneticPr fontId="18" type="noConversion"/>
  </si>
  <si>
    <t>6座</t>
    <phoneticPr fontId="18" type="noConversion"/>
  </si>
  <si>
    <t>ULD儲格</t>
    <phoneticPr fontId="18" type="noConversion"/>
  </si>
  <si>
    <t>移載手臂</t>
    <phoneticPr fontId="18" type="noConversion"/>
  </si>
  <si>
    <t>4支</t>
    <phoneticPr fontId="18" type="noConversion"/>
  </si>
  <si>
    <t>前WIP</t>
    <phoneticPr fontId="18" type="noConversion"/>
  </si>
  <si>
    <t>後WIP Lift</t>
    <phoneticPr fontId="18" type="noConversion"/>
  </si>
  <si>
    <t>前WIP Lift</t>
    <phoneticPr fontId="18" type="noConversion"/>
  </si>
  <si>
    <t>出料流道</t>
    <phoneticPr fontId="18" type="noConversion"/>
  </si>
  <si>
    <t>後WIP</t>
    <phoneticPr fontId="18" type="noConversion"/>
  </si>
  <si>
    <t>KUKA手臂</t>
    <phoneticPr fontId="18" type="noConversion"/>
  </si>
  <si>
    <t>AGV儲格</t>
    <phoneticPr fontId="18" type="noConversion"/>
  </si>
  <si>
    <t>AGV車</t>
    <phoneticPr fontId="18" type="noConversion"/>
  </si>
  <si>
    <t>高空流道</t>
    <phoneticPr fontId="18" type="noConversion"/>
  </si>
  <si>
    <t>跨樓層車</t>
    <phoneticPr fontId="18" type="noConversion"/>
  </si>
  <si>
    <t>數量</t>
    <phoneticPr fontId="18" type="noConversion"/>
  </si>
  <si>
    <t>樓層</t>
    <phoneticPr fontId="18" type="noConversion"/>
  </si>
  <si>
    <t>細項名稱</t>
    <phoneticPr fontId="18" type="noConversion"/>
  </si>
  <si>
    <t>站點名稱</t>
    <phoneticPr fontId="18" type="noConversion"/>
  </si>
  <si>
    <t>妥善率</t>
    <phoneticPr fontId="18" type="noConversion"/>
  </si>
  <si>
    <t>機構狀態</t>
    <phoneticPr fontId="18" type="noConversion"/>
  </si>
  <si>
    <t>目前處理狀況</t>
    <phoneticPr fontId="18" type="noConversion"/>
  </si>
  <si>
    <t>K21-8F</t>
    <phoneticPr fontId="18" type="noConversion"/>
  </si>
  <si>
    <t>中央儲格</t>
    <phoneticPr fontId="18" type="noConversion"/>
  </si>
  <si>
    <t>K21-9F</t>
    <phoneticPr fontId="18" type="noConversion"/>
  </si>
  <si>
    <t>K22-8F</t>
    <phoneticPr fontId="18" type="noConversion"/>
  </si>
  <si>
    <t>K22-5F</t>
    <phoneticPr fontId="18" type="noConversion"/>
  </si>
  <si>
    <t>第一園區</t>
    <phoneticPr fontId="18" type="noConversion"/>
  </si>
  <si>
    <t>K11</t>
    <phoneticPr fontId="18" type="noConversion"/>
  </si>
  <si>
    <t>第二園區</t>
    <phoneticPr fontId="18" type="noConversion"/>
  </si>
  <si>
    <t>K21</t>
    <phoneticPr fontId="18" type="noConversion"/>
  </si>
  <si>
    <t>K22</t>
    <phoneticPr fontId="18" type="noConversion"/>
  </si>
  <si>
    <t>園區</t>
    <phoneticPr fontId="18" type="noConversion"/>
  </si>
  <si>
    <t>棟別</t>
    <phoneticPr fontId="18" type="noConversion"/>
  </si>
  <si>
    <t>一園區</t>
    <phoneticPr fontId="18" type="noConversion"/>
  </si>
  <si>
    <t>妥善率</t>
    <phoneticPr fontId="18" type="noConversion"/>
  </si>
  <si>
    <t>園區</t>
    <phoneticPr fontId="18" type="noConversion"/>
  </si>
  <si>
    <t>二園區</t>
    <phoneticPr fontId="18" type="noConversion"/>
  </si>
  <si>
    <t>N/A</t>
    <phoneticPr fontId="18" type="noConversion"/>
  </si>
  <si>
    <t>棟別</t>
    <phoneticPr fontId="18" type="noConversion"/>
  </si>
  <si>
    <t>K11</t>
    <phoneticPr fontId="18" type="noConversion"/>
  </si>
  <si>
    <t>K21</t>
    <phoneticPr fontId="18" type="noConversion"/>
  </si>
  <si>
    <t>K22</t>
    <phoneticPr fontId="18" type="noConversion"/>
  </si>
  <si>
    <t>法蘭科手臂</t>
  </si>
  <si>
    <t>跨樓層</t>
  </si>
  <si>
    <t>KUKA手臂</t>
  </si>
  <si>
    <t>入料流道</t>
  </si>
  <si>
    <t>LD</t>
  </si>
  <si>
    <t>WIP</t>
  </si>
  <si>
    <t>Reject儲格</t>
  </si>
  <si>
    <t>ULD</t>
  </si>
  <si>
    <t>移載手臂</t>
  </si>
  <si>
    <t>跨樓層車</t>
  </si>
  <si>
    <t>高空流道</t>
  </si>
  <si>
    <t>入料台車</t>
  </si>
  <si>
    <t>移載台車</t>
  </si>
  <si>
    <t>出料台車</t>
  </si>
  <si>
    <t>出料流道</t>
  </si>
  <si>
    <t>高空入料</t>
  </si>
  <si>
    <t>DryRoom手投區</t>
  </si>
  <si>
    <t>入料龍門</t>
  </si>
  <si>
    <t>DryRoom退盒區</t>
  </si>
  <si>
    <t>出料龍門</t>
  </si>
  <si>
    <t>DryRoomWIP</t>
  </si>
  <si>
    <t>入料WIP</t>
  </si>
  <si>
    <t>DryRoom入料流道</t>
  </si>
  <si>
    <t>DryRoom移載手臂</t>
  </si>
  <si>
    <t>WIP手臂</t>
  </si>
  <si>
    <t>DryRoom</t>
  </si>
  <si>
    <t>DryRoom出料流道</t>
  </si>
  <si>
    <t>DryRoom入料口</t>
  </si>
  <si>
    <t>DryRoom手臂</t>
  </si>
  <si>
    <t>DryRoom出料口</t>
  </si>
  <si>
    <t>換盒機構</t>
  </si>
  <si>
    <t>橫向機構</t>
  </si>
  <si>
    <t>天車</t>
  </si>
  <si>
    <t>3390/上貨區</t>
  </si>
  <si>
    <t>儲格</t>
  </si>
  <si>
    <t>3800退盒區</t>
  </si>
  <si>
    <t>放貨區</t>
  </si>
  <si>
    <t>入料手投區</t>
  </si>
  <si>
    <t>3400/水珠角</t>
  </si>
  <si>
    <t>入料移載手臂</t>
  </si>
  <si>
    <t>4507退盒區</t>
  </si>
  <si>
    <t>4507天車</t>
  </si>
  <si>
    <t>出料Lift</t>
  </si>
  <si>
    <t>ULD儲格</t>
  </si>
  <si>
    <t>前WIP</t>
  </si>
  <si>
    <t>前WIP Lift</t>
  </si>
  <si>
    <t>後WIP Lift</t>
  </si>
  <si>
    <t>後WIP</t>
  </si>
  <si>
    <t>中央儲格</t>
  </si>
  <si>
    <t>3F</t>
    <phoneticPr fontId="18" type="noConversion"/>
  </si>
  <si>
    <t>4F</t>
    <phoneticPr fontId="18" type="noConversion"/>
  </si>
  <si>
    <t>5F</t>
    <phoneticPr fontId="18" type="noConversion"/>
  </si>
  <si>
    <t>6F</t>
    <phoneticPr fontId="18" type="noConversion"/>
  </si>
  <si>
    <t>機構名稱</t>
    <phoneticPr fontId="18" type="noConversion"/>
  </si>
  <si>
    <t>實際數量</t>
    <phoneticPr fontId="18" type="noConversion"/>
  </si>
  <si>
    <t>異常數量</t>
    <phoneticPr fontId="18" type="noConversion"/>
  </si>
  <si>
    <t>8F</t>
    <phoneticPr fontId="18" type="noConversion"/>
  </si>
  <si>
    <t>樓層
妥善率</t>
    <phoneticPr fontId="18" type="noConversion"/>
  </si>
  <si>
    <t>升降機購</t>
  </si>
  <si>
    <t>3390
上貨區</t>
  </si>
  <si>
    <t>9F</t>
    <phoneticPr fontId="18" type="noConversion"/>
  </si>
  <si>
    <t>固定層架</t>
  </si>
  <si>
    <t>3390/上貨區</t>
    <phoneticPr fontId="18" type="noConversion"/>
  </si>
  <si>
    <t>3380/DR</t>
    <phoneticPr fontId="18" type="noConversion"/>
  </si>
  <si>
    <t>3260/DR</t>
    <phoneticPr fontId="18" type="noConversion"/>
  </si>
  <si>
    <t>3380/DR</t>
    <phoneticPr fontId="18" type="noConversion"/>
  </si>
  <si>
    <t>3260/DR</t>
    <phoneticPr fontId="18" type="noConversion"/>
  </si>
  <si>
    <t>N/A</t>
    <phoneticPr fontId="18" type="noConversion"/>
  </si>
  <si>
    <t>N/A</t>
    <phoneticPr fontId="18" type="noConversion"/>
  </si>
  <si>
    <t>N/A</t>
    <phoneticPr fontId="18" type="noConversion"/>
  </si>
  <si>
    <t>N/A</t>
    <phoneticPr fontId="18" type="noConversion"/>
  </si>
  <si>
    <t>iCOS</t>
    <phoneticPr fontId="18" type="noConversion"/>
  </si>
  <si>
    <t>O/S</t>
    <phoneticPr fontId="18" type="noConversion"/>
  </si>
  <si>
    <t>目檢機</t>
    <phoneticPr fontId="18" type="noConversion"/>
  </si>
  <si>
    <t>中央儲格</t>
    <phoneticPr fontId="18" type="noConversion"/>
  </si>
  <si>
    <t>K11-10</t>
    <phoneticPr fontId="18" type="noConversion"/>
  </si>
  <si>
    <t>3380/DR</t>
    <phoneticPr fontId="18" type="noConversion"/>
  </si>
  <si>
    <t>K25-8F</t>
    <phoneticPr fontId="18" type="noConversion"/>
  </si>
  <si>
    <t>K25-9F</t>
    <phoneticPr fontId="18" type="noConversion"/>
  </si>
  <si>
    <t>一園區 Total復機率</t>
    <phoneticPr fontId="18" type="noConversion"/>
  </si>
  <si>
    <t>二園區 Total復機率</t>
    <phoneticPr fontId="18" type="noConversion"/>
  </si>
  <si>
    <t>21~23時</t>
    <phoneticPr fontId="18" type="noConversion"/>
  </si>
  <si>
    <t>23~01時</t>
    <phoneticPr fontId="18" type="noConversion"/>
  </si>
  <si>
    <t>01~03時</t>
    <phoneticPr fontId="18" type="noConversion"/>
  </si>
  <si>
    <t>03~04時</t>
    <phoneticPr fontId="18" type="noConversion"/>
  </si>
  <si>
    <t>設定範圍：</t>
    <phoneticPr fontId="18" type="noConversion"/>
  </si>
  <si>
    <t>最低</t>
    <phoneticPr fontId="18" type="noConversion"/>
  </si>
  <si>
    <t>最高</t>
    <phoneticPr fontId="18" type="noConversion"/>
  </si>
  <si>
    <t>K22</t>
    <phoneticPr fontId="18" type="noConversion"/>
  </si>
  <si>
    <t>K25</t>
    <phoneticPr fontId="18" type="noConversion"/>
  </si>
  <si>
    <t>樓層</t>
    <phoneticPr fontId="18" type="noConversion"/>
  </si>
  <si>
    <t>站點名稱</t>
    <phoneticPr fontId="18" type="noConversion"/>
  </si>
  <si>
    <t>實際數量</t>
    <phoneticPr fontId="18" type="noConversion"/>
  </si>
  <si>
    <t>樓層</t>
    <phoneticPr fontId="18" type="noConversion"/>
  </si>
  <si>
    <t>機構名稱</t>
    <phoneticPr fontId="18" type="noConversion"/>
  </si>
  <si>
    <t>異常數量</t>
    <phoneticPr fontId="18" type="noConversion"/>
  </si>
  <si>
    <t>3380/DR</t>
    <phoneticPr fontId="18" type="noConversion"/>
  </si>
  <si>
    <t>ABB手臂</t>
    <phoneticPr fontId="18" type="noConversion"/>
  </si>
  <si>
    <t>Lifter</t>
    <phoneticPr fontId="18" type="noConversion"/>
  </si>
  <si>
    <t>ABB手臂</t>
    <phoneticPr fontId="18" type="noConversion"/>
  </si>
  <si>
    <t>WIP</t>
    <phoneticPr fontId="18" type="noConversion"/>
  </si>
  <si>
    <t>KUKA手臂</t>
    <phoneticPr fontId="18" type="noConversion"/>
  </si>
  <si>
    <t>LU</t>
    <phoneticPr fontId="18" type="noConversion"/>
  </si>
  <si>
    <t>ULD</t>
    <phoneticPr fontId="18" type="noConversion"/>
  </si>
  <si>
    <t>移載台車</t>
    <phoneticPr fontId="18" type="noConversion"/>
  </si>
  <si>
    <t>3260/4110</t>
    <phoneticPr fontId="18" type="noConversion"/>
  </si>
  <si>
    <t>9F</t>
    <phoneticPr fontId="18" type="noConversion"/>
  </si>
  <si>
    <t>LU</t>
    <phoneticPr fontId="18" type="noConversion"/>
  </si>
  <si>
    <t>3380/DR</t>
    <phoneticPr fontId="18" type="noConversion"/>
  </si>
  <si>
    <t>ZIP 微型倉儲</t>
    <phoneticPr fontId="18" type="noConversion"/>
  </si>
  <si>
    <t>ROBOT</t>
    <phoneticPr fontId="18" type="noConversion"/>
  </si>
  <si>
    <t>電梯</t>
    <phoneticPr fontId="18" type="noConversion"/>
  </si>
  <si>
    <t>ULD</t>
    <phoneticPr fontId="18" type="noConversion"/>
  </si>
  <si>
    <t>目檢機</t>
    <phoneticPr fontId="18" type="noConversion"/>
  </si>
  <si>
    <t>4600/4515</t>
    <phoneticPr fontId="18" type="noConversion"/>
  </si>
  <si>
    <t>8F</t>
    <phoneticPr fontId="18" type="noConversion"/>
  </si>
  <si>
    <t>入料流道</t>
    <phoneticPr fontId="18" type="noConversion"/>
  </si>
  <si>
    <t>10F</t>
    <phoneticPr fontId="18" type="noConversion"/>
  </si>
  <si>
    <t>LD</t>
    <phoneticPr fontId="18" type="noConversion"/>
  </si>
  <si>
    <t>目檢機</t>
    <phoneticPr fontId="18" type="noConversion"/>
  </si>
  <si>
    <t>運行中</t>
    <phoneticPr fontId="18" type="noConversion"/>
  </si>
  <si>
    <t>待開機</t>
    <phoneticPr fontId="18" type="noConversion"/>
  </si>
  <si>
    <t>K11-5F</t>
    <phoneticPr fontId="18" type="noConversion"/>
  </si>
  <si>
    <t>K11-6F</t>
    <phoneticPr fontId="18" type="noConversion"/>
  </si>
  <si>
    <t>1/10
22:00</t>
    <phoneticPr fontId="18" type="noConversion"/>
  </si>
  <si>
    <t>1/10
23:00</t>
    <phoneticPr fontId="18" type="noConversion"/>
  </si>
  <si>
    <t>1/11
00:00</t>
    <phoneticPr fontId="18" type="noConversion"/>
  </si>
  <si>
    <t>1/11
01:00</t>
    <phoneticPr fontId="18" type="noConversion"/>
  </si>
  <si>
    <t>1/11
02:00</t>
    <phoneticPr fontId="18" type="noConversion"/>
  </si>
  <si>
    <t>1/11
03:00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</si>
</sst>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0.0%"/>
  </numFmts>
  <fonts count="28" x14ac:knownFonts="1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b/>
      <sz val="18"/>
      <color rgb="FF00FF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8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3">
    <xf numFmtId="0" fontId="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34" borderId="29" xfId="0" applyFont="1" applyFill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35" borderId="0" xfId="0" applyFont="1" applyFill="1" applyBorder="1" applyAlignment="1">
      <alignment horizontal="center" vertical="center" wrapText="1"/>
    </xf>
    <xf numFmtId="0" fontId="20" fillId="35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  <xf numFmtId="0" fontId="20" fillId="36" borderId="13" xfId="0" applyFont="1" applyFill="1" applyBorder="1" applyAlignment="1">
      <alignment horizontal="center" vertical="center" wrapText="1"/>
    </xf>
    <xf numFmtId="0" fontId="20" fillId="36" borderId="14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  <xf numFmtId="0" fontId="20" fillId="36" borderId="18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20" fillId="37" borderId="13" xfId="0" applyFont="1" applyFill="1" applyBorder="1" applyAlignment="1">
      <alignment horizontal="center" vertical="center" wrapText="1"/>
    </xf>
    <xf numFmtId="0" fontId="20" fillId="37" borderId="14" xfId="0" applyFont="1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 wrapText="1"/>
    </xf>
    <xf numFmtId="0" fontId="20" fillId="37" borderId="16" xfId="0" applyFont="1" applyFill="1" applyBorder="1" applyAlignment="1">
      <alignment horizontal="center" vertical="center" wrapText="1"/>
    </xf>
    <xf numFmtId="0" fontId="20" fillId="37" borderId="18" xfId="0" applyFont="1" applyFill="1" applyBorder="1" applyAlignment="1">
      <alignment horizontal="center" vertical="center" wrapText="1"/>
    </xf>
    <xf numFmtId="0" fontId="20" fillId="37" borderId="19" xfId="0" applyFont="1" applyFill="1" applyBorder="1" applyAlignment="1">
      <alignment horizontal="center" vertical="center" wrapText="1"/>
    </xf>
    <xf numFmtId="0" fontId="20" fillId="36" borderId="26" xfId="0" applyFont="1" applyFill="1" applyBorder="1" applyAlignment="1">
      <alignment horizontal="center" vertical="center" wrapText="1"/>
    </xf>
    <xf numFmtId="0" fontId="20" fillId="36" borderId="27" xfId="0" applyFont="1" applyFill="1" applyBorder="1" applyAlignment="1">
      <alignment horizontal="center" vertical="center" wrapText="1"/>
    </xf>
    <xf numFmtId="0" fontId="20" fillId="36" borderId="28" xfId="0" applyFont="1" applyFill="1" applyBorder="1" applyAlignment="1">
      <alignment horizontal="center" vertical="center" wrapText="1"/>
    </xf>
    <xf numFmtId="0" fontId="21" fillId="34" borderId="26" xfId="0" applyFont="1" applyFill="1" applyBorder="1" applyAlignment="1">
      <alignment horizontal="center" vertical="center" wrapText="1"/>
    </xf>
    <xf numFmtId="0" fontId="21" fillId="34" borderId="27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2" fillId="33" borderId="10" xfId="0" applyFont="1" applyFill="1" applyBorder="1">
      <alignment vertical="center"/>
    </xf>
    <xf numFmtId="0" fontId="22" fillId="33" borderId="10" xfId="0" applyFont="1" applyFill="1" applyBorder="1" applyAlignment="1">
      <alignment horizontal="center" vertical="center"/>
    </xf>
    <xf numFmtId="0" fontId="21" fillId="34" borderId="31" xfId="0" applyFont="1" applyFill="1" applyBorder="1" applyAlignment="1">
      <alignment horizontal="center" vertical="center" wrapText="1"/>
    </xf>
    <xf numFmtId="0" fontId="21" fillId="34" borderId="40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176" fontId="0" fillId="0" borderId="39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1" fillId="34" borderId="28" xfId="0" applyFont="1" applyFill="1" applyBorder="1" applyAlignment="1">
      <alignment horizontal="center" vertical="center" wrapText="1"/>
    </xf>
    <xf numFmtId="0" fontId="21" fillId="34" borderId="30" xfId="0" applyFont="1" applyFill="1" applyBorder="1" applyAlignment="1">
      <alignment horizontal="center" vertical="center" wrapText="1"/>
    </xf>
    <xf numFmtId="0" fontId="21" fillId="34" borderId="41" xfId="0" applyFont="1" applyFill="1" applyBorder="1" applyAlignment="1">
      <alignment horizontal="center" vertical="center" wrapText="1"/>
    </xf>
    <xf numFmtId="0" fontId="21" fillId="34" borderId="52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0" borderId="42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5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177" fontId="24" fillId="34" borderId="30" xfId="0" applyNumberFormat="1" applyFont="1" applyFill="1" applyBorder="1" applyAlignment="1">
      <alignment horizontal="center" vertical="center"/>
    </xf>
    <xf numFmtId="177" fontId="0" fillId="0" borderId="43" xfId="0" applyNumberFormat="1" applyBorder="1" applyAlignment="1">
      <alignment horizontal="center" vertical="center"/>
    </xf>
    <xf numFmtId="177" fontId="0" fillId="0" borderId="42" xfId="0" applyNumberFormat="1" applyBorder="1" applyAlignment="1">
      <alignment horizontal="center" vertical="center"/>
    </xf>
    <xf numFmtId="177" fontId="0" fillId="0" borderId="44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22" fillId="0" borderId="10" xfId="0" applyNumberFormat="1" applyFont="1" applyBorder="1" applyAlignment="1">
      <alignment horizontal="center" vertical="center"/>
    </xf>
    <xf numFmtId="0" fontId="21" fillId="34" borderId="61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1" fillId="34" borderId="46" xfId="0" applyFont="1" applyFill="1" applyBorder="1" applyAlignment="1">
      <alignment horizontal="center" vertical="center" wrapText="1"/>
    </xf>
    <xf numFmtId="0" fontId="21" fillId="33" borderId="30" xfId="0" applyFont="1" applyFill="1" applyBorder="1" applyAlignment="1">
      <alignment horizontal="center" vertical="center" wrapText="1"/>
    </xf>
    <xf numFmtId="0" fontId="20" fillId="37" borderId="23" xfId="0" applyFont="1" applyFill="1" applyBorder="1" applyAlignment="1">
      <alignment horizontal="center" vertical="center" wrapText="1"/>
    </xf>
    <xf numFmtId="0" fontId="20" fillId="37" borderId="24" xfId="0" applyFont="1" applyFill="1" applyBorder="1" applyAlignment="1">
      <alignment horizontal="center" vertical="center" wrapText="1"/>
    </xf>
    <xf numFmtId="0" fontId="20" fillId="37" borderId="25" xfId="0" applyFont="1" applyFill="1" applyBorder="1" applyAlignment="1">
      <alignment horizontal="center" vertical="center" wrapText="1"/>
    </xf>
    <xf numFmtId="0" fontId="20" fillId="36" borderId="30" xfId="0" applyFont="1" applyFill="1" applyBorder="1" applyAlignment="1">
      <alignment horizontal="center" vertical="center" wrapText="1"/>
    </xf>
    <xf numFmtId="0" fontId="20" fillId="36" borderId="46" xfId="0" applyFont="1" applyFill="1" applyBorder="1" applyAlignment="1">
      <alignment horizontal="center" vertical="center" wrapText="1"/>
    </xf>
    <xf numFmtId="0" fontId="20" fillId="37" borderId="52" xfId="0" applyFont="1" applyFill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/>
    </xf>
    <xf numFmtId="0" fontId="21" fillId="34" borderId="33" xfId="0" applyFont="1" applyFill="1" applyBorder="1" applyAlignment="1">
      <alignment horizontal="center" vertical="center" wrapText="1"/>
    </xf>
    <xf numFmtId="9" fontId="20" fillId="0" borderId="66" xfId="0" applyNumberFormat="1" applyFont="1" applyBorder="1" applyAlignment="1">
      <alignment horizontal="center" vertical="center" wrapText="1"/>
    </xf>
    <xf numFmtId="0" fontId="21" fillId="33" borderId="46" xfId="0" applyFont="1" applyFill="1" applyBorder="1" applyAlignment="1">
      <alignment horizontal="center" vertical="center" wrapText="1"/>
    </xf>
    <xf numFmtId="0" fontId="0" fillId="0" borderId="46" xfId="0" applyBorder="1">
      <alignment vertical="center"/>
    </xf>
    <xf numFmtId="0" fontId="20" fillId="33" borderId="39" xfId="0" applyFont="1" applyFill="1" applyBorder="1" applyAlignment="1">
      <alignment horizontal="center" vertical="center" wrapText="1"/>
    </xf>
    <xf numFmtId="0" fontId="20" fillId="38" borderId="0" xfId="0" applyFont="1" applyFill="1" applyAlignment="1">
      <alignment horizontal="center" vertical="center"/>
    </xf>
    <xf numFmtId="9" fontId="20" fillId="38" borderId="0" xfId="0" applyNumberFormat="1" applyFont="1" applyFill="1" applyAlignment="1">
      <alignment horizontal="center" vertical="center"/>
    </xf>
    <xf numFmtId="177" fontId="20" fillId="0" borderId="28" xfId="0" applyNumberFormat="1" applyFont="1" applyBorder="1" applyAlignment="1">
      <alignment horizontal="center" vertical="center" wrapText="1"/>
    </xf>
    <xf numFmtId="0" fontId="21" fillId="33" borderId="39" xfId="0" applyFont="1" applyFill="1" applyBorder="1" applyAlignment="1">
      <alignment horizontal="center" vertical="center" wrapText="1"/>
    </xf>
    <xf numFmtId="177" fontId="20" fillId="0" borderId="52" xfId="0" applyNumberFormat="1" applyFont="1" applyBorder="1" applyAlignment="1">
      <alignment horizontal="center" vertical="center" wrapText="1"/>
    </xf>
    <xf numFmtId="0" fontId="20" fillId="37" borderId="69" xfId="0" applyFont="1" applyFill="1" applyBorder="1" applyAlignment="1">
      <alignment horizontal="center" vertical="center" wrapText="1"/>
    </xf>
    <xf numFmtId="0" fontId="20" fillId="37" borderId="36" xfId="0" applyFont="1" applyFill="1" applyBorder="1" applyAlignment="1">
      <alignment horizontal="center" vertical="center" wrapText="1"/>
    </xf>
    <xf numFmtId="0" fontId="20" fillId="37" borderId="37" xfId="0" applyFont="1" applyFill="1" applyBorder="1" applyAlignment="1">
      <alignment horizontal="center" vertical="center" wrapText="1"/>
    </xf>
    <xf numFmtId="0" fontId="20" fillId="37" borderId="38" xfId="0" applyFont="1" applyFill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9" fontId="0" fillId="0" borderId="14" xfId="42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9" fontId="0" fillId="0" borderId="16" xfId="42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9" fontId="0" fillId="0" borderId="19" xfId="42" applyFont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 wrapText="1"/>
    </xf>
    <xf numFmtId="177" fontId="22" fillId="0" borderId="10" xfId="0" applyNumberFormat="1" applyFont="1" applyBorder="1" applyAlignment="1">
      <alignment vertical="center"/>
    </xf>
    <xf numFmtId="177" fontId="0" fillId="0" borderId="48" xfId="0" applyNumberFormat="1" applyBorder="1" applyAlignment="1">
      <alignment horizontal="center" vertical="center"/>
    </xf>
    <xf numFmtId="177" fontId="0" fillId="0" borderId="56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0" fontId="20" fillId="37" borderId="32" xfId="0" applyFont="1" applyFill="1" applyBorder="1" applyAlignment="1">
      <alignment horizontal="center" vertical="center" wrapText="1"/>
    </xf>
    <xf numFmtId="0" fontId="22" fillId="33" borderId="0" xfId="0" applyFont="1" applyFill="1" applyBorder="1" applyAlignment="1">
      <alignment horizontal="center" vertical="center"/>
    </xf>
    <xf numFmtId="9" fontId="20" fillId="35" borderId="39" xfId="0" applyNumberFormat="1" applyFont="1" applyFill="1" applyBorder="1" applyAlignment="1">
      <alignment horizontal="center" vertical="center" wrapText="1"/>
    </xf>
    <xf numFmtId="9" fontId="20" fillId="35" borderId="27" xfId="0" applyNumberFormat="1" applyFont="1" applyFill="1" applyBorder="1" applyAlignment="1">
      <alignment horizontal="center" vertical="center" wrapText="1"/>
    </xf>
    <xf numFmtId="0" fontId="0" fillId="35" borderId="64" xfId="0" applyFont="1" applyFill="1" applyBorder="1" applyAlignment="1">
      <alignment horizontal="center" vertical="center"/>
    </xf>
    <xf numFmtId="9" fontId="20" fillId="35" borderId="67" xfId="0" applyNumberFormat="1" applyFont="1" applyFill="1" applyBorder="1" applyAlignment="1">
      <alignment horizontal="center" vertical="center" wrapText="1"/>
    </xf>
    <xf numFmtId="9" fontId="20" fillId="35" borderId="13" xfId="0" applyNumberFormat="1" applyFont="1" applyFill="1" applyBorder="1" applyAlignment="1">
      <alignment horizontal="center" vertical="center" wrapText="1"/>
    </xf>
    <xf numFmtId="9" fontId="20" fillId="35" borderId="44" xfId="0" applyNumberFormat="1" applyFont="1" applyFill="1" applyBorder="1" applyAlignment="1">
      <alignment horizontal="center" vertical="center" wrapText="1"/>
    </xf>
    <xf numFmtId="9" fontId="20" fillId="35" borderId="10" xfId="0" applyNumberFormat="1" applyFont="1" applyFill="1" applyBorder="1" applyAlignment="1">
      <alignment horizontal="center" vertical="center" wrapText="1"/>
    </xf>
    <xf numFmtId="9" fontId="20" fillId="35" borderId="45" xfId="0" applyNumberFormat="1" applyFont="1" applyFill="1" applyBorder="1" applyAlignment="1">
      <alignment horizontal="center" vertical="center" wrapText="1"/>
    </xf>
    <xf numFmtId="9" fontId="20" fillId="35" borderId="18" xfId="0" applyNumberFormat="1" applyFont="1" applyFill="1" applyBorder="1" applyAlignment="1">
      <alignment horizontal="center" vertical="center" wrapText="1"/>
    </xf>
    <xf numFmtId="9" fontId="20" fillId="35" borderId="68" xfId="0" applyNumberFormat="1" applyFont="1" applyFill="1" applyBorder="1" applyAlignment="1">
      <alignment horizontal="center" vertical="center" wrapText="1"/>
    </xf>
    <xf numFmtId="9" fontId="20" fillId="35" borderId="29" xfId="0" applyNumberFormat="1" applyFont="1" applyFill="1" applyBorder="1" applyAlignment="1">
      <alignment horizontal="center" vertical="center" wrapText="1"/>
    </xf>
    <xf numFmtId="0" fontId="0" fillId="35" borderId="65" xfId="0" applyFont="1" applyFill="1" applyBorder="1" applyAlignment="1">
      <alignment horizontal="center" vertical="center"/>
    </xf>
    <xf numFmtId="0" fontId="0" fillId="35" borderId="44" xfId="0" applyFont="1" applyFill="1" applyBorder="1" applyAlignment="1">
      <alignment horizontal="center" vertical="center"/>
    </xf>
    <xf numFmtId="0" fontId="0" fillId="35" borderId="29" xfId="0" applyFont="1" applyFill="1" applyBorder="1" applyAlignment="1">
      <alignment horizontal="center" vertical="center"/>
    </xf>
    <xf numFmtId="0" fontId="0" fillId="35" borderId="45" xfId="0" applyFont="1" applyFill="1" applyBorder="1" applyAlignment="1">
      <alignment horizontal="center" vertical="center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1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7" borderId="20" xfId="0" applyFont="1" applyFill="1" applyBorder="1" applyAlignment="1">
      <alignment horizontal="center" vertical="center" wrapText="1"/>
    </xf>
    <xf numFmtId="0" fontId="20" fillId="37" borderId="21" xfId="0" applyFont="1" applyFill="1" applyBorder="1" applyAlignment="1">
      <alignment horizontal="center" vertical="center" wrapText="1"/>
    </xf>
    <xf numFmtId="0" fontId="20" fillId="37" borderId="22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17" xfId="0" applyFont="1" applyFill="1" applyBorder="1" applyAlignment="1">
      <alignment horizontal="center" vertical="center" wrapText="1"/>
    </xf>
    <xf numFmtId="0" fontId="20" fillId="37" borderId="12" xfId="0" applyFont="1" applyFill="1" applyBorder="1" applyAlignment="1">
      <alignment horizontal="center" vertical="center" wrapText="1"/>
    </xf>
    <xf numFmtId="0" fontId="20" fillId="37" borderId="15" xfId="0" applyFont="1" applyFill="1" applyBorder="1" applyAlignment="1">
      <alignment horizontal="center" vertical="center" wrapText="1"/>
    </xf>
    <xf numFmtId="0" fontId="20" fillId="37" borderId="17" xfId="0" applyFont="1" applyFill="1" applyBorder="1" applyAlignment="1">
      <alignment horizontal="center" vertical="center" wrapText="1"/>
    </xf>
    <xf numFmtId="0" fontId="20" fillId="38" borderId="50" xfId="0" applyFont="1" applyFill="1" applyBorder="1" applyAlignment="1">
      <alignment horizontal="center" vertical="center" wrapText="1"/>
    </xf>
    <xf numFmtId="0" fontId="20" fillId="38" borderId="51" xfId="0" applyFont="1" applyFill="1" applyBorder="1" applyAlignment="1">
      <alignment horizontal="center" vertical="center" wrapText="1"/>
    </xf>
    <xf numFmtId="0" fontId="20" fillId="37" borderId="32" xfId="0" applyFont="1" applyFill="1" applyBorder="1" applyAlignment="1">
      <alignment horizontal="center" vertical="center" wrapText="1"/>
    </xf>
    <xf numFmtId="0" fontId="20" fillId="37" borderId="34" xfId="0" applyFont="1" applyFill="1" applyBorder="1" applyAlignment="1">
      <alignment horizontal="center" vertical="center" wrapText="1"/>
    </xf>
    <xf numFmtId="0" fontId="20" fillId="37" borderId="33" xfId="0" applyFont="1" applyFill="1" applyBorder="1" applyAlignment="1">
      <alignment horizontal="center" vertical="center" wrapText="1"/>
    </xf>
    <xf numFmtId="0" fontId="22" fillId="35" borderId="32" xfId="0" applyFont="1" applyFill="1" applyBorder="1" applyAlignment="1">
      <alignment horizontal="center" vertical="center"/>
    </xf>
    <xf numFmtId="0" fontId="22" fillId="35" borderId="34" xfId="0" applyFont="1" applyFill="1" applyBorder="1" applyAlignment="1">
      <alignment horizontal="center" vertical="center"/>
    </xf>
    <xf numFmtId="0" fontId="22" fillId="35" borderId="33" xfId="0" applyFont="1" applyFill="1" applyBorder="1" applyAlignment="1">
      <alignment horizontal="center" vertical="center"/>
    </xf>
    <xf numFmtId="0" fontId="20" fillId="37" borderId="61" xfId="0" applyFont="1" applyFill="1" applyBorder="1" applyAlignment="1">
      <alignment horizontal="center" vertical="center" wrapText="1"/>
    </xf>
    <xf numFmtId="0" fontId="20" fillId="37" borderId="63" xfId="0" applyFont="1" applyFill="1" applyBorder="1" applyAlignment="1">
      <alignment horizontal="center" vertical="center" wrapText="1"/>
    </xf>
    <xf numFmtId="0" fontId="20" fillId="37" borderId="62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177" fontId="16" fillId="35" borderId="32" xfId="42" applyNumberFormat="1" applyFont="1" applyFill="1" applyBorder="1" applyAlignment="1">
      <alignment horizontal="center" vertical="center"/>
    </xf>
    <xf numFmtId="177" fontId="16" fillId="35" borderId="34" xfId="42" applyNumberFormat="1" applyFont="1" applyFill="1" applyBorder="1" applyAlignment="1">
      <alignment horizontal="center" vertical="center"/>
    </xf>
    <xf numFmtId="177" fontId="16" fillId="35" borderId="33" xfId="42" applyNumberFormat="1" applyFont="1" applyFill="1" applyBorder="1" applyAlignment="1">
      <alignment horizontal="center" vertical="center"/>
    </xf>
    <xf numFmtId="0" fontId="16" fillId="35" borderId="32" xfId="0" applyFont="1" applyFill="1" applyBorder="1" applyAlignment="1">
      <alignment horizontal="center" vertical="center"/>
    </xf>
    <xf numFmtId="0" fontId="16" fillId="35" borderId="34" xfId="0" applyFont="1" applyFill="1" applyBorder="1" applyAlignment="1">
      <alignment horizontal="center" vertical="center"/>
    </xf>
    <xf numFmtId="0" fontId="16" fillId="35" borderId="33" xfId="0" applyFont="1" applyFill="1" applyBorder="1" applyAlignment="1">
      <alignment horizontal="center" vertical="center"/>
    </xf>
    <xf numFmtId="0" fontId="20" fillId="38" borderId="52" xfId="0" applyFont="1" applyFill="1" applyBorder="1" applyAlignment="1">
      <alignment horizontal="center" vertical="center" wrapText="1"/>
    </xf>
    <xf numFmtId="0" fontId="20" fillId="37" borderId="60" xfId="0" applyFont="1" applyFill="1" applyBorder="1" applyAlignment="1">
      <alignment horizontal="center" vertical="center" wrapText="1"/>
    </xf>
    <xf numFmtId="0" fontId="20" fillId="37" borderId="35" xfId="0" applyFont="1" applyFill="1" applyBorder="1" applyAlignment="1">
      <alignment horizontal="center" vertical="center" wrapText="1"/>
    </xf>
    <xf numFmtId="0" fontId="23" fillId="34" borderId="50" xfId="0" applyFont="1" applyFill="1" applyBorder="1" applyAlignment="1">
      <alignment horizontal="center" vertical="center"/>
    </xf>
    <xf numFmtId="0" fontId="23" fillId="34" borderId="51" xfId="0" applyFont="1" applyFill="1" applyBorder="1" applyAlignment="1">
      <alignment horizontal="center" vertical="center"/>
    </xf>
    <xf numFmtId="0" fontId="23" fillId="34" borderId="3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9" fontId="0" fillId="0" borderId="23" xfId="42" applyFont="1" applyBorder="1" applyAlignment="1">
      <alignment horizontal="center" vertical="center"/>
    </xf>
    <xf numFmtId="9" fontId="0" fillId="0" borderId="24" xfId="42" applyFont="1" applyBorder="1" applyAlignment="1">
      <alignment horizontal="center" vertical="center"/>
    </xf>
    <xf numFmtId="9" fontId="0" fillId="0" borderId="25" xfId="42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36" xfId="42" applyFont="1" applyBorder="1" applyAlignment="1">
      <alignment horizontal="center" vertical="center"/>
    </xf>
    <xf numFmtId="9" fontId="0" fillId="0" borderId="37" xfId="42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9" fontId="0" fillId="0" borderId="54" xfId="42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9" fontId="0" fillId="0" borderId="16" xfId="42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9" fontId="0" fillId="0" borderId="59" xfId="42" applyFont="1" applyBorder="1" applyAlignment="1">
      <alignment horizontal="center" vertical="center"/>
    </xf>
    <xf numFmtId="9" fontId="0" fillId="0" borderId="70" xfId="42" applyFont="1" applyBorder="1" applyAlignment="1">
      <alignment horizontal="center" vertical="center"/>
    </xf>
    <xf numFmtId="9" fontId="0" fillId="0" borderId="65" xfId="42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38" xfId="42" applyFont="1" applyBorder="1" applyAlignment="1">
      <alignment horizontal="center" vertical="center"/>
    </xf>
    <xf numFmtId="9" fontId="0" fillId="0" borderId="41" xfId="0" applyNumberFormat="1" applyBorder="1" applyAlignment="1">
      <alignment horizontal="center" vertical="center"/>
    </xf>
    <xf numFmtId="9" fontId="0" fillId="0" borderId="70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9" fontId="0" fillId="0" borderId="14" xfId="42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9" fillId="0" borderId="53" xfId="0" applyFont="1" applyBorder="1" applyAlignment="1">
      <alignment horizontal="center" vertical="center" wrapText="1"/>
    </xf>
    <xf numFmtId="9" fontId="0" fillId="0" borderId="60" xfId="42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9" fontId="0" fillId="0" borderId="32" xfId="42" applyFont="1" applyBorder="1" applyAlignment="1">
      <alignment horizontal="center" vertical="center"/>
    </xf>
    <xf numFmtId="9" fontId="0" fillId="0" borderId="34" xfId="42" applyFont="1" applyBorder="1" applyAlignment="1">
      <alignment horizontal="center" vertical="center"/>
    </xf>
    <xf numFmtId="9" fontId="0" fillId="0" borderId="35" xfId="42" applyFont="1" applyBorder="1" applyAlignment="1">
      <alignment horizontal="center" vertical="center"/>
    </xf>
    <xf numFmtId="9" fontId="0" fillId="0" borderId="19" xfId="42" applyFont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 wrapText="1"/>
    </xf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中等" xfId="19" builtinId="28" customBuiltin="1"/>
    <cellStyle name="合計" xfId="20" builtinId="25" customBuiltin="1"/>
    <cellStyle name="好" xfId="21" builtinId="26" customBuiltin="1"/>
    <cellStyle name="百分比" xfId="42" builtinId="5"/>
    <cellStyle name="計算方式" xfId="22" builtinId="22" customBuiltin="1"/>
    <cellStyle name="連結的儲存格" xfId="23" builtinId="24" customBuiltin="1"/>
    <cellStyle name="備註" xfId="24" builtinId="10" customBuiltin="1"/>
    <cellStyle name="說明文字" xfId="25" builtinId="53" customBuiltin="1"/>
    <cellStyle name="輔色1" xfId="26" builtinId="29" customBuiltin="1"/>
    <cellStyle name="輔色2" xfId="27" builtinId="33" customBuiltin="1"/>
    <cellStyle name="輔色3" xfId="28" builtinId="37" customBuiltin="1"/>
    <cellStyle name="輔色4" xfId="29" builtinId="41" customBuiltin="1"/>
    <cellStyle name="輔色5" xfId="30" builtinId="45" customBuiltin="1"/>
    <cellStyle name="輔色6" xfId="31" builtinId="49" customBuiltin="1"/>
    <cellStyle name="標題" xfId="32" builtinId="15" customBuiltin="1"/>
    <cellStyle name="標題 1" xfId="33" builtinId="16" customBuiltin="1"/>
    <cellStyle name="標題 2" xfId="34" builtinId="17" customBuiltin="1"/>
    <cellStyle name="標題 3" xfId="35" builtinId="18" customBuiltin="1"/>
    <cellStyle name="標題 4" xfId="36" builtinId="19" customBuiltin="1"/>
    <cellStyle name="輸入" xfId="37" builtinId="20" customBuiltin="1"/>
    <cellStyle name="輸出" xfId="38" builtinId="21" customBuiltin="1"/>
    <cellStyle name="檢查儲存格" xfId="39" builtinId="23" customBuiltin="1"/>
    <cellStyle name="壞" xfId="40" builtinId="27" customBuiltin="1"/>
    <cellStyle name="警告文字" xfId="41" builtinId="11" customBuiltin="1"/>
  </cellStyles>
  <dxfs count="4">
    <dxf>
      <font>
        <color rgb="FF00FF00"/>
      </font>
      <fill>
        <patternFill>
          <bgColor rgb="FFFF0000"/>
        </patternFill>
      </fill>
    </dxf>
    <dxf>
      <font>
        <color rgb="FF00FF00"/>
      </font>
      <fill>
        <patternFill>
          <bgColor rgb="FFFF0000"/>
        </patternFill>
      </fill>
    </dxf>
    <dxf>
      <font>
        <color rgb="FF00FF00"/>
      </font>
      <fill>
        <patternFill>
          <bgColor rgb="FFFF0000"/>
        </patternFill>
      </fill>
    </dxf>
    <dxf>
      <font>
        <color rgb="FF00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  <color rgb="FF303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/>
              <a:t>第二園區 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彙整資料!$P$11</c:f>
              <c:strCache>
                <c:ptCount val="1"/>
                <c:pt idx="0">
                  <c:v>運行中</c:v>
                </c:pt>
              </c:strCache>
            </c:strRef>
          </c:tx>
          <c:dLbls>
            <c:dLbl>
              <c:idx val="0"/>
              <c:layout>
                <c:manualLayout>
                  <c:x val="-1.0188320209973753E-2"/>
                  <c:y val="-0.27995370370370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50-40A6-8A28-78566CBE009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彙整資料!$N$12:$O$14</c:f>
              <c:multiLvlStrCache>
                <c:ptCount val="3"/>
                <c:lvl>
                  <c:pt idx="0">
                    <c:v>K21</c:v>
                  </c:pt>
                  <c:pt idx="1">
                    <c:v>K22</c:v>
                  </c:pt>
                  <c:pt idx="2">
                    <c:v>K25</c:v>
                  </c:pt>
                </c:lvl>
                <c:lvl>
                  <c:pt idx="0">
                    <c:v>第二園區</c:v>
                  </c:pt>
                </c:lvl>
              </c:multiLvlStrCache>
            </c:multiLvlStrRef>
          </c:cat>
          <c:val>
            <c:numRef>
              <c:f>彙整資料!$P$12:$P$14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50-40A6-8A28-78566CBE0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6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layout>
        <c:manualLayout>
          <c:xMode val="edge"/>
          <c:yMode val="edge"/>
          <c:x val="1.5963181860964782E-2"/>
          <c:y val="0"/>
        </c:manualLayout>
      </c:layout>
      <c:overlay val="0"/>
      <c:txPr>
        <a:bodyPr/>
        <a:lstStyle/>
        <a:p>
          <a:pPr>
            <a:defRPr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4124664672939613"/>
          <c:y val="0"/>
          <c:w val="0.7511483476903611"/>
          <c:h val="1"/>
        </c:manualLayout>
      </c:layout>
      <c:doughnutChart>
        <c:varyColors val="1"/>
        <c:ser>
          <c:idx val="0"/>
          <c:order val="0"/>
          <c:tx>
            <c:strRef>
              <c:f>彙整資料!$O$6</c:f>
              <c:strCache>
                <c:ptCount val="1"/>
                <c:pt idx="0">
                  <c:v>K11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6308-413B-92D5-7FB5E3648CAB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192E-45A9-B245-2174C99A218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vertOverflow="overflow" horzOverflow="overflow"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solidFill>
                        <a:schemeClr val="bg1"/>
                      </a:solidFill>
                      <a:effectLst>
                        <a:glow rad="101600">
                          <a:schemeClr val="tx1">
                            <a:alpha val="60000"/>
                          </a:schemeClr>
                        </a:glow>
                      </a:effectLst>
                      <a:latin typeface="Microsoft YaHei" panose="020B0503020204020204" pitchFamily="34" charset="-122"/>
                      <a:ea typeface="Microsoft YaHei" panose="020B0503020204020204" pitchFamily="34" charset="-122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6308-413B-92D5-7FB5E3648CA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vertOverflow="overflow" horzOverflow="overflow"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solidFill>
                        <a:schemeClr val="bg1"/>
                      </a:solidFill>
                      <a:effectLst>
                        <a:glow rad="101600">
                          <a:schemeClr val="tx1">
                            <a:alpha val="60000"/>
                          </a:schemeClr>
                        </a:glow>
                      </a:effectLst>
                      <a:latin typeface="Microsoft YaHei" panose="020B0503020204020204" pitchFamily="34" charset="-122"/>
                      <a:ea typeface="Microsoft YaHei" panose="020B0503020204020204" pitchFamily="34" charset="-122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192E-45A9-B245-2174C99A21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vertOverflow="overflow" horzOverflow="overflow"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bg1"/>
                    </a:solidFill>
                    <a:effectLst>
                      <a:glow rad="101600">
                        <a:schemeClr val="tx1">
                          <a:alpha val="60000"/>
                        </a:schemeClr>
                      </a:glow>
                    </a:effectLst>
                    <a:latin typeface="Microsoft YaHei" panose="020B0503020204020204" pitchFamily="34" charset="-122"/>
                    <a:ea typeface="Microsoft YaHei" panose="020B0503020204020204" pitchFamily="34" charset="-122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彙整資料!$P$5:$Q$5</c:f>
              <c:strCache>
                <c:ptCount val="2"/>
                <c:pt idx="0">
                  <c:v>運行中</c:v>
                </c:pt>
                <c:pt idx="1">
                  <c:v>待開機</c:v>
                </c:pt>
              </c:strCache>
            </c:strRef>
          </c:cat>
          <c:val>
            <c:numRef>
              <c:f>彙整資料!$P$6:$Q$6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08-413B-92D5-7FB5E3648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</c:plotArea>
    <c:plotVisOnly val="1"/>
    <c:dispBlanksAs val="gap"/>
    <c:showDLblsOverMax val="0"/>
  </c:chart>
  <c:spPr>
    <a:solidFill>
      <a:srgbClr val="303030"/>
    </a:solidFill>
  </c:spPr>
  <c:txPr>
    <a:bodyPr/>
    <a:lstStyle/>
    <a:p>
      <a:pPr>
        <a:defRPr sz="18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layout>
        <c:manualLayout>
          <c:xMode val="edge"/>
          <c:yMode val="edge"/>
          <c:x val="1.3599083441249686E-2"/>
          <c:y val="1.2842571810959366E-2"/>
        </c:manualLayout>
      </c:layout>
      <c:overlay val="0"/>
      <c:txPr>
        <a:bodyPr/>
        <a:lstStyle/>
        <a:p>
          <a:pPr>
            <a:defRPr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533763006023843"/>
          <c:y val="1.8140056270801546E-3"/>
          <c:w val="0.70898030736271611"/>
          <c:h val="0.98416006173916426"/>
        </c:manualLayout>
      </c:layout>
      <c:doughnutChart>
        <c:varyColors val="1"/>
        <c:ser>
          <c:idx val="0"/>
          <c:order val="0"/>
          <c:tx>
            <c:strRef>
              <c:f>彙整資料!$O$12</c:f>
              <c:strCache>
                <c:ptCount val="1"/>
                <c:pt idx="0">
                  <c:v>K21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B41A-4228-8885-06E4F236AAAD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2D41-4189-9EF6-2B98411C3CCB}"/>
              </c:ext>
            </c:extLst>
          </c:dPt>
          <c:dLbls>
            <c:dLbl>
              <c:idx val="0"/>
              <c:layout>
                <c:manualLayout>
                  <c:x val="-2.5125000000000538E-3"/>
                  <c:y val="-0.2631944444444444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200" b="1">
                      <a:solidFill>
                        <a:schemeClr val="bg1"/>
                      </a:solidFill>
                      <a:effectLst>
                        <a:glow rad="101600">
                          <a:schemeClr val="tx1">
                            <a:alpha val="60000"/>
                          </a:schemeClr>
                        </a:glow>
                      </a:effectLst>
                      <a:latin typeface="Microsoft YaHei" panose="020B0503020204020204" pitchFamily="34" charset="-122"/>
                      <a:ea typeface="Microsoft YaHei" panose="020B0503020204020204" pitchFamily="34" charset="-122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5586458333333332"/>
                      <c:h val="0.470481045751633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41A-4228-8885-06E4F236AA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chemeClr val="bg1"/>
                    </a:solidFill>
                    <a:effectLst>
                      <a:glow rad="101600">
                        <a:schemeClr val="tx1">
                          <a:alpha val="60000"/>
                        </a:schemeClr>
                      </a:glow>
                    </a:effectLst>
                    <a:latin typeface="Microsoft YaHei" panose="020B0503020204020204" pitchFamily="34" charset="-122"/>
                    <a:ea typeface="Microsoft YaHei" panose="020B0503020204020204" pitchFamily="34" charset="-122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彙整資料!$P$11:$Q$11</c:f>
              <c:strCache>
                <c:ptCount val="2"/>
                <c:pt idx="0">
                  <c:v>運行中</c:v>
                </c:pt>
                <c:pt idx="1">
                  <c:v>待開機</c:v>
                </c:pt>
              </c:strCache>
            </c:strRef>
          </c:cat>
          <c:val>
            <c:numRef>
              <c:f>彙整資料!$P$12:$Q$12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1A-4228-8885-06E4F236A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</c:plotArea>
    <c:plotVisOnly val="1"/>
    <c:dispBlanksAs val="gap"/>
    <c:showDLblsOverMax val="0"/>
  </c:chart>
  <c:spPr>
    <a:solidFill>
      <a:srgbClr val="303030"/>
    </a:solidFill>
  </c:spPr>
  <c:txPr>
    <a:bodyPr/>
    <a:lstStyle/>
    <a:p>
      <a:pPr>
        <a:defRPr sz="18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layout>
        <c:manualLayout>
          <c:xMode val="edge"/>
          <c:yMode val="edge"/>
          <c:x val="1.8087760528825985E-3"/>
          <c:y val="0"/>
        </c:manualLayout>
      </c:layout>
      <c:overlay val="0"/>
      <c:txPr>
        <a:bodyPr/>
        <a:lstStyle/>
        <a:p>
          <a:pPr>
            <a:defRPr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381550502728762"/>
          <c:y val="0"/>
          <c:w val="0.7479467685090232"/>
          <c:h val="1"/>
        </c:manualLayout>
      </c:layout>
      <c:doughnutChart>
        <c:varyColors val="1"/>
        <c:ser>
          <c:idx val="0"/>
          <c:order val="0"/>
          <c:tx>
            <c:strRef>
              <c:f>彙整資料!$O$13</c:f>
              <c:strCache>
                <c:ptCount val="1"/>
                <c:pt idx="0">
                  <c:v>K22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1153-4B05-B4F4-3AA9FC6E56AB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2C1C-4B21-914A-8D1A1358E782}"/>
              </c:ext>
            </c:extLst>
          </c:dPt>
          <c:dLbls>
            <c:dLbl>
              <c:idx val="0"/>
              <c:layout>
                <c:manualLayout>
                  <c:x val="-4.1444444444444445E-3"/>
                  <c:y val="-0.2686395424836601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200" b="1">
                      <a:solidFill>
                        <a:schemeClr val="bg1"/>
                      </a:solidFill>
                      <a:effectLst>
                        <a:glow rad="101600">
                          <a:schemeClr val="tx1">
                            <a:alpha val="60000"/>
                          </a:schemeClr>
                        </a:glow>
                      </a:effectLst>
                      <a:latin typeface="Microsoft YaHei" panose="020B0503020204020204" pitchFamily="34" charset="-122"/>
                      <a:ea typeface="Microsoft YaHei" panose="020B0503020204020204" pitchFamily="34" charset="-122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116550925925926"/>
                      <c:h val="0.47463137254901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153-4B05-B4F4-3AA9FC6E56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chemeClr val="bg1"/>
                    </a:solidFill>
                    <a:effectLst>
                      <a:glow rad="101600">
                        <a:schemeClr val="tx1">
                          <a:alpha val="60000"/>
                        </a:schemeClr>
                      </a:glow>
                    </a:effectLst>
                    <a:latin typeface="Microsoft YaHei" panose="020B0503020204020204" pitchFamily="34" charset="-122"/>
                    <a:ea typeface="Microsoft YaHei" panose="020B0503020204020204" pitchFamily="34" charset="-122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彙整資料!$P$11:$Q$11</c:f>
              <c:strCache>
                <c:ptCount val="2"/>
                <c:pt idx="0">
                  <c:v>運行中</c:v>
                </c:pt>
                <c:pt idx="1">
                  <c:v>待開機</c:v>
                </c:pt>
              </c:strCache>
            </c:strRef>
          </c:cat>
          <c:val>
            <c:numRef>
              <c:f>彙整資料!$P$13:$Q$13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3-4B05-B4F4-3AA9FC6E5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</c:plotArea>
    <c:plotVisOnly val="1"/>
    <c:dispBlanksAs val="gap"/>
    <c:showDLblsOverMax val="0"/>
  </c:chart>
  <c:spPr>
    <a:solidFill>
      <a:srgbClr val="303030"/>
    </a:solidFill>
  </c:spPr>
  <c:txPr>
    <a:bodyPr/>
    <a:lstStyle/>
    <a:p>
      <a:pPr>
        <a:defRPr sz="18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Microsoft YaHei" panose="020B0503020204020204" pitchFamily="34" charset="-122"/>
                <a:ea typeface="Microsoft YaHei" panose="020B0503020204020204" pitchFamily="34" charset="-122"/>
              </a:rPr>
              <a:t>K25</a:t>
            </a:r>
          </a:p>
        </c:rich>
      </c:tx>
      <c:layout>
        <c:manualLayout>
          <c:xMode val="edge"/>
          <c:yMode val="edge"/>
          <c:x val="1.5932353787897723E-2"/>
          <c:y val="6.421285905479683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bg1"/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4072397656682811"/>
          <c:y val="8.0285106954618365E-3"/>
          <c:w val="0.73905748670980809"/>
          <c:h val="0.98720059755316825"/>
        </c:manualLayout>
      </c:layout>
      <c:doughnutChart>
        <c:varyColors val="1"/>
        <c:ser>
          <c:idx val="0"/>
          <c:order val="0"/>
          <c:tx>
            <c:strRef>
              <c:f>彙整資料!$O$14</c:f>
              <c:strCache>
                <c:ptCount val="1"/>
                <c:pt idx="0">
                  <c:v>K25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92D05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15-4B1C-8FD6-F3272203890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477-4B62-A33D-1C02C4393D0D}"/>
              </c:ext>
            </c:extLst>
          </c:dPt>
          <c:dLbls>
            <c:dLbl>
              <c:idx val="0"/>
              <c:layout>
                <c:manualLayout>
                  <c:x val="-1.2721898656030812E-2"/>
                  <c:y val="0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5357152777777778"/>
                      <c:h val="0.473884313725490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015-4B1C-8FD6-F32722038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effectLst>
                      <a:glow rad="101600">
                        <a:schemeClr val="tx1">
                          <a:alpha val="60000"/>
                        </a:schemeClr>
                      </a:glow>
                    </a:effectLst>
                    <a:latin typeface="Microsoft YaHei" panose="020B0503020204020204" pitchFamily="34" charset="-122"/>
                    <a:ea typeface="Microsoft YaHei" panose="020B0503020204020204" pitchFamily="34" charset="-122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彙整資料!$P$11:$Q$11</c:f>
              <c:strCache>
                <c:ptCount val="2"/>
                <c:pt idx="0">
                  <c:v>運行中</c:v>
                </c:pt>
                <c:pt idx="1">
                  <c:v>待開機</c:v>
                </c:pt>
              </c:strCache>
            </c:strRef>
          </c:cat>
          <c:val>
            <c:numRef>
              <c:f>彙整資料!$P$14:$Q$14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15-4B1C-8FD6-F32722038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303030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sz="18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A3 </a:t>
            </a:r>
            <a:r>
              <a:rPr lang="zh-TW" altLang="en-US"/>
              <a:t>自動化妥善率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232810100269581E-2"/>
          <c:y val="0.1748094741169402"/>
          <c:w val="0.91533878683549941"/>
          <c:h val="0.43966258735730324"/>
        </c:manualLayout>
      </c:layout>
      <c:lineChart>
        <c:grouping val="standard"/>
        <c:varyColors val="0"/>
        <c:ser>
          <c:idx val="0"/>
          <c:order val="0"/>
          <c:tx>
            <c:strRef>
              <c:f>百分比!$W$3</c:f>
              <c:strCache>
                <c:ptCount val="1"/>
                <c:pt idx="0">
                  <c:v>K11</c:v>
                </c:pt>
              </c:strCache>
            </c:strRef>
          </c:tx>
          <c:spPr>
            <a:ln w="44450" cmpd="sng">
              <a:prstDash val="sysDot"/>
            </a:ln>
          </c:spPr>
          <c:marker>
            <c:symbol val="square"/>
            <c:size val="5"/>
          </c:marker>
          <c:cat>
            <c:strRef>
              <c:f>百分比!$BN$2:$CP$2</c:f>
              <c:strCache>
                <c:ptCount val="14"/>
                <c:pt idx="0">
                  <c:v>1/10
22:00</c:v>
                </c:pt>
                <c:pt idx="1">
                  <c:v>1/10
23:00</c:v>
                </c:pt>
                <c:pt idx="2">
                  <c:v>1/11
00:00</c:v>
                </c:pt>
                <c:pt idx="3">
                  <c:v>1/11
01:00</c:v>
                </c:pt>
                <c:pt idx="4">
                  <c:v>1/11
02:00</c:v>
                </c:pt>
                <c:pt idx="5">
                  <c:v>1/11
03:00</c:v>
                </c:pt>
                <c:pt idx="6">
                  <c:v>12/31</c:v>
                </c:pt>
                <c:pt idx="7">
                  <c:v>1/1</c:v>
                </c:pt>
                <c:pt idx="8">
                  <c:v>1/2</c:v>
                </c:pt>
                <c:pt idx="9">
                  <c:v>1/3</c:v>
                </c:pt>
                <c:pt idx="10">
                  <c:v>1/4</c:v>
                </c:pt>
                <c:pt idx="11">
                  <c:v>1/5</c:v>
                </c:pt>
                <c:pt idx="12">
                  <c:v>1/6</c:v>
                </c:pt>
                <c:pt idx="13">
                  <c:v>1/7</c:v>
                </c:pt>
              </c:strCache>
            </c:strRef>
          </c:cat>
          <c:val>
            <c:numRef>
              <c:f>百分比!$BN$3:$CP$3</c:f>
              <c:numCache>
                <c:formatCode>0.0%</c:formatCode>
                <c:ptCount val="14"/>
                <c:pt idx="0">
                  <c:v>0.97573656845753898</c:v>
                </c:pt>
                <c:pt idx="1">
                  <c:v>0.97231833910034604</c:v>
                </c:pt>
                <c:pt idx="2">
                  <c:v>0.97873656845753898</c:v>
                </c:pt>
                <c:pt idx="3">
                  <c:v>0.97916666666666663</c:v>
                </c:pt>
                <c:pt idx="4">
                  <c:v>0.9826086956521739</c:v>
                </c:pt>
                <c:pt idx="5">
                  <c:v>0.9826086956521739</c:v>
                </c:pt>
                <c:pt idx="6">
                  <c:v>0.9826086956521739</c:v>
                </c:pt>
                <c:pt idx="7">
                  <c:v>0.9826086956521739</c:v>
                </c:pt>
                <c:pt idx="8">
                  <c:v>0.9826086956521739</c:v>
                </c:pt>
                <c:pt idx="9">
                  <c:v>0.9826086956521739</c:v>
                </c:pt>
                <c:pt idx="10">
                  <c:v>0.9826086956521739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0-4524-A20D-B75339699970}"/>
            </c:ext>
          </c:extLst>
        </c:ser>
        <c:ser>
          <c:idx val="1"/>
          <c:order val="1"/>
          <c:tx>
            <c:strRef>
              <c:f>百分比!$W$4</c:f>
              <c:strCache>
                <c:ptCount val="1"/>
                <c:pt idx="0">
                  <c:v>K21</c:v>
                </c:pt>
              </c:strCache>
            </c:strRef>
          </c:tx>
          <c:spPr>
            <a:ln w="38100">
              <a:prstDash val="dashDot"/>
            </a:ln>
          </c:spPr>
          <c:marker>
            <c:symbol val="star"/>
            <c:size val="5"/>
          </c:marker>
          <c:cat>
            <c:strRef>
              <c:f>百分比!$BN$2:$CP$2</c:f>
              <c:strCache>
                <c:ptCount val="14"/>
                <c:pt idx="0">
                  <c:v>1/10
22:00</c:v>
                </c:pt>
                <c:pt idx="1">
                  <c:v>1/10
23:00</c:v>
                </c:pt>
                <c:pt idx="2">
                  <c:v>1/11
00:00</c:v>
                </c:pt>
                <c:pt idx="3">
                  <c:v>1/11
01:00</c:v>
                </c:pt>
                <c:pt idx="4">
                  <c:v>1/11
02:00</c:v>
                </c:pt>
                <c:pt idx="5">
                  <c:v>1/11
03:00</c:v>
                </c:pt>
                <c:pt idx="6">
                  <c:v>12/31</c:v>
                </c:pt>
                <c:pt idx="7">
                  <c:v>1/1</c:v>
                </c:pt>
                <c:pt idx="8">
                  <c:v>1/2</c:v>
                </c:pt>
                <c:pt idx="9">
                  <c:v>1/3</c:v>
                </c:pt>
                <c:pt idx="10">
                  <c:v>1/4</c:v>
                </c:pt>
                <c:pt idx="11">
                  <c:v>1/5</c:v>
                </c:pt>
                <c:pt idx="12">
                  <c:v>1/6</c:v>
                </c:pt>
                <c:pt idx="13">
                  <c:v>1/7</c:v>
                </c:pt>
              </c:strCache>
            </c:strRef>
          </c:cat>
          <c:val>
            <c:numRef>
              <c:f>百分比!$BN$4:$CP$4</c:f>
              <c:numCache>
                <c:formatCode>0.0%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0-4524-A20D-B75339699970}"/>
            </c:ext>
          </c:extLst>
        </c:ser>
        <c:ser>
          <c:idx val="2"/>
          <c:order val="2"/>
          <c:tx>
            <c:strRef>
              <c:f>百分比!$W$5</c:f>
              <c:strCache>
                <c:ptCount val="1"/>
                <c:pt idx="0">
                  <c:v>K22</c:v>
                </c:pt>
              </c:strCache>
            </c:strRef>
          </c:tx>
          <c:marker>
            <c:symbol val="triangle"/>
            <c:size val="5"/>
          </c:marker>
          <c:cat>
            <c:strRef>
              <c:f>百分比!$BN$2:$CP$2</c:f>
              <c:strCache>
                <c:ptCount val="14"/>
                <c:pt idx="0">
                  <c:v>1/10
22:00</c:v>
                </c:pt>
                <c:pt idx="1">
                  <c:v>1/10
23:00</c:v>
                </c:pt>
                <c:pt idx="2">
                  <c:v>1/11
00:00</c:v>
                </c:pt>
                <c:pt idx="3">
                  <c:v>1/11
01:00</c:v>
                </c:pt>
                <c:pt idx="4">
                  <c:v>1/11
02:00</c:v>
                </c:pt>
                <c:pt idx="5">
                  <c:v>1/11
03:00</c:v>
                </c:pt>
                <c:pt idx="6">
                  <c:v>12/31</c:v>
                </c:pt>
                <c:pt idx="7">
                  <c:v>1/1</c:v>
                </c:pt>
                <c:pt idx="8">
                  <c:v>1/2</c:v>
                </c:pt>
                <c:pt idx="9">
                  <c:v>1/3</c:v>
                </c:pt>
                <c:pt idx="10">
                  <c:v>1/4</c:v>
                </c:pt>
                <c:pt idx="11">
                  <c:v>1/5</c:v>
                </c:pt>
                <c:pt idx="12">
                  <c:v>1/6</c:v>
                </c:pt>
                <c:pt idx="13">
                  <c:v>1/7</c:v>
                </c:pt>
              </c:strCache>
            </c:strRef>
          </c:cat>
          <c:val>
            <c:numRef>
              <c:f>百分比!$BN$5:$CP$5</c:f>
              <c:numCache>
                <c:formatCode>0.0%</c:formatCode>
                <c:ptCount val="14"/>
                <c:pt idx="0">
                  <c:v>0.98581560283687941</c:v>
                </c:pt>
                <c:pt idx="1">
                  <c:v>0.98581560283687941</c:v>
                </c:pt>
                <c:pt idx="2">
                  <c:v>0.99290780141843971</c:v>
                </c:pt>
                <c:pt idx="3">
                  <c:v>0.99290780141843971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E0-4524-A20D-B75339699970}"/>
            </c:ext>
          </c:extLst>
        </c:ser>
        <c:ser>
          <c:idx val="3"/>
          <c:order val="3"/>
          <c:tx>
            <c:strRef>
              <c:f>百分比!$W$6</c:f>
              <c:strCache>
                <c:ptCount val="1"/>
                <c:pt idx="0">
                  <c:v>K25</c:v>
                </c:pt>
              </c:strCache>
            </c:strRef>
          </c:tx>
          <c:cat>
            <c:strRef>
              <c:f>百分比!$BN$2:$CP$2</c:f>
              <c:strCache>
                <c:ptCount val="14"/>
                <c:pt idx="0">
                  <c:v>1/10
22:00</c:v>
                </c:pt>
                <c:pt idx="1">
                  <c:v>1/10
23:00</c:v>
                </c:pt>
                <c:pt idx="2">
                  <c:v>1/11
00:00</c:v>
                </c:pt>
                <c:pt idx="3">
                  <c:v>1/11
01:00</c:v>
                </c:pt>
                <c:pt idx="4">
                  <c:v>1/11
02:00</c:v>
                </c:pt>
                <c:pt idx="5">
                  <c:v>1/11
03:00</c:v>
                </c:pt>
                <c:pt idx="6">
                  <c:v>12/31</c:v>
                </c:pt>
                <c:pt idx="7">
                  <c:v>1/1</c:v>
                </c:pt>
                <c:pt idx="8">
                  <c:v>1/2</c:v>
                </c:pt>
                <c:pt idx="9">
                  <c:v>1/3</c:v>
                </c:pt>
                <c:pt idx="10">
                  <c:v>1/4</c:v>
                </c:pt>
                <c:pt idx="11">
                  <c:v>1/5</c:v>
                </c:pt>
                <c:pt idx="12">
                  <c:v>1/6</c:v>
                </c:pt>
                <c:pt idx="13">
                  <c:v>1/7</c:v>
                </c:pt>
              </c:strCache>
            </c:strRef>
          </c:cat>
          <c:val>
            <c:numRef>
              <c:f>百分比!$BN$6:$CP$6</c:f>
              <c:numCache>
                <c:formatCode>0.0%</c:formatCode>
                <c:ptCount val="14"/>
                <c:pt idx="0">
                  <c:v>0.98581560283687941</c:v>
                </c:pt>
                <c:pt idx="1">
                  <c:v>0.98581560283687941</c:v>
                </c:pt>
                <c:pt idx="2">
                  <c:v>0.99290780141843971</c:v>
                </c:pt>
                <c:pt idx="3">
                  <c:v>0.99290780141843971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E0-4524-A20D-B75339699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176464"/>
        <c:axId val="1919169392"/>
      </c:lineChart>
      <c:catAx>
        <c:axId val="191917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19169392"/>
        <c:crosses val="autoZero"/>
        <c:auto val="1"/>
        <c:lblAlgn val="ctr"/>
        <c:lblOffset val="100"/>
        <c:noMultiLvlLbl val="1"/>
      </c:catAx>
      <c:valAx>
        <c:axId val="191916939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crossAx val="191917646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6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15</xdr:row>
      <xdr:rowOff>0</xdr:rowOff>
    </xdr:from>
    <xdr:to>
      <xdr:col>19</xdr:col>
      <xdr:colOff>44500</xdr:colOff>
      <xdr:row>30</xdr:row>
      <xdr:rowOff>33250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31</xdr:row>
      <xdr:rowOff>0</xdr:rowOff>
    </xdr:from>
    <xdr:to>
      <xdr:col>21</xdr:col>
      <xdr:colOff>249558</xdr:colOff>
      <xdr:row>41</xdr:row>
      <xdr:rowOff>24306</xdr:rowOff>
    </xdr:to>
    <xdr:grpSp>
      <xdr:nvGrpSpPr>
        <xdr:cNvPr id="4" name="群組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611909" y="6707909"/>
          <a:ext cx="6334013" cy="2114033"/>
          <a:chOff x="12420600" y="6343650"/>
          <a:chExt cx="8776134" cy="3044413"/>
        </a:xfrm>
      </xdr:grpSpPr>
      <xdr:graphicFrame macro="">
        <xdr:nvGraphicFramePr>
          <xdr:cNvPr id="9" name="圖表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GraphicFramePr>
            <a:graphicFrameLocks/>
          </xdr:cNvGraphicFramePr>
        </xdr:nvGraphicFramePr>
        <xdr:xfrm>
          <a:off x="12420600" y="6343650"/>
          <a:ext cx="4410304" cy="30444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0" name="圖表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GraphicFramePr>
            <a:graphicFrameLocks/>
          </xdr:cNvGraphicFramePr>
        </xdr:nvGraphicFramePr>
        <xdr:xfrm>
          <a:off x="16786430" y="6343650"/>
          <a:ext cx="4410304" cy="30444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13</xdr:col>
      <xdr:colOff>25801</xdr:colOff>
      <xdr:row>41</xdr:row>
      <xdr:rowOff>103850</xdr:rowOff>
    </xdr:from>
    <xdr:to>
      <xdr:col>21</xdr:col>
      <xdr:colOff>275359</xdr:colOff>
      <xdr:row>50</xdr:row>
      <xdr:rowOff>142010</xdr:rowOff>
    </xdr:to>
    <xdr:grpSp>
      <xdr:nvGrpSpPr>
        <xdr:cNvPr id="3" name="群組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37710" y="8901486"/>
          <a:ext cx="6334013" cy="2058615"/>
          <a:chOff x="21152259" y="6343649"/>
          <a:chExt cx="8776136" cy="3044414"/>
        </a:xfrm>
      </xdr:grpSpPr>
      <xdr:graphicFrame macro="">
        <xdr:nvGraphicFramePr>
          <xdr:cNvPr id="11" name="圖表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GraphicFramePr>
            <a:graphicFrameLocks/>
          </xdr:cNvGraphicFramePr>
        </xdr:nvGraphicFramePr>
        <xdr:xfrm>
          <a:off x="21152259" y="6343649"/>
          <a:ext cx="4410304" cy="30444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2" name="圖表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GraphicFramePr>
            <a:graphicFrameLocks/>
          </xdr:cNvGraphicFramePr>
        </xdr:nvGraphicFramePr>
        <xdr:xfrm>
          <a:off x="25518091" y="6343650"/>
          <a:ext cx="4410304" cy="30444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2</xdr:row>
      <xdr:rowOff>133350</xdr:rowOff>
    </xdr:from>
    <xdr:to>
      <xdr:col>19</xdr:col>
      <xdr:colOff>2679700</xdr:colOff>
      <xdr:row>17</xdr:row>
      <xdr:rowOff>142875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9745/Desktop/2023_&#33258;&#21205;&#21270;&#24489;&#27231;&#29575;&#22238;&#22577;(&#32173;&#35703;&#29256;)_20240105_(Security%20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彙整資料"/>
      <sheetName val="妥善率"/>
      <sheetName val="百分比"/>
    </sheetNames>
    <sheetDataSet>
      <sheetData sheetId="0"/>
      <sheetData sheetId="1">
        <row r="4">
          <cell r="R4">
            <v>0.93208333333333337</v>
          </cell>
        </row>
        <row r="30">
          <cell r="R30">
            <v>1</v>
          </cell>
        </row>
        <row r="42">
          <cell r="R42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71"/>
  <sheetViews>
    <sheetView zoomScale="70" zoomScaleNormal="70" workbookViewId="0">
      <selection activeCell="W3" sqref="W3"/>
    </sheetView>
  </sheetViews>
  <sheetFormatPr defaultColWidth="9" defaultRowHeight="16" x14ac:dyDescent="0.4"/>
  <cols>
    <col min="1" max="1" width="1.6328125" style="1" customWidth="1"/>
    <col min="2" max="2" width="8.90625" style="1" bestFit="1" customWidth="1"/>
    <col min="3" max="3" width="14.26953125" style="1" bestFit="1" customWidth="1"/>
    <col min="4" max="4" width="15.08984375" style="1" bestFit="1" customWidth="1"/>
    <col min="5" max="5" width="8.90625" style="2" customWidth="1"/>
    <col min="6" max="6" width="8.90625" style="1" customWidth="1"/>
    <col min="7" max="7" width="8" style="16" customWidth="1"/>
    <col min="8" max="8" width="8.7265625" style="1" bestFit="1" customWidth="1"/>
    <col min="9" max="9" width="10.7265625" style="1" customWidth="1"/>
    <col min="10" max="10" width="19.453125" style="1" bestFit="1" customWidth="1"/>
    <col min="11" max="11" width="5.26953125" style="1" bestFit="1" customWidth="1"/>
    <col min="12" max="12" width="8" style="1" bestFit="1" customWidth="1"/>
    <col min="13" max="13" width="8" style="14" customWidth="1"/>
    <col min="14" max="14" width="8.7265625" style="1" bestFit="1" customWidth="1"/>
    <col min="15" max="15" width="10.7265625" style="1" customWidth="1"/>
    <col min="16" max="16" width="19.08984375" style="1" bestFit="1" customWidth="1"/>
    <col min="17" max="17" width="7.36328125" style="1" customWidth="1"/>
    <col min="18" max="18" width="8" style="1" bestFit="1" customWidth="1"/>
    <col min="19" max="19" width="8" style="14" customWidth="1"/>
    <col min="20" max="16384" width="9" style="1"/>
  </cols>
  <sheetData>
    <row r="1" spans="2:18" ht="30" customHeight="1" thickBot="1" x14ac:dyDescent="0.45">
      <c r="B1" s="4" t="s">
        <v>81</v>
      </c>
      <c r="C1" s="4" t="s">
        <v>83</v>
      </c>
      <c r="D1" s="4" t="s">
        <v>82</v>
      </c>
      <c r="E1" s="4" t="s">
        <v>80</v>
      </c>
      <c r="F1" s="5" t="s">
        <v>84</v>
      </c>
      <c r="G1" s="14"/>
      <c r="H1" s="12" t="s">
        <v>81</v>
      </c>
      <c r="I1" s="4" t="s">
        <v>83</v>
      </c>
      <c r="J1" s="4" t="s">
        <v>83</v>
      </c>
      <c r="K1" s="4" t="s">
        <v>80</v>
      </c>
      <c r="L1" s="5" t="s">
        <v>84</v>
      </c>
      <c r="N1" s="4" t="s">
        <v>81</v>
      </c>
      <c r="O1" s="4" t="s">
        <v>83</v>
      </c>
      <c r="P1" s="4" t="s">
        <v>83</v>
      </c>
      <c r="Q1" s="4" t="s">
        <v>80</v>
      </c>
      <c r="R1" s="5" t="s">
        <v>84</v>
      </c>
    </row>
    <row r="2" spans="2:18" ht="44.15" customHeight="1" x14ac:dyDescent="0.4">
      <c r="B2" s="144" t="s">
        <v>0</v>
      </c>
      <c r="C2" s="150" t="s">
        <v>11</v>
      </c>
      <c r="D2" s="17" t="s">
        <v>1</v>
      </c>
      <c r="E2" s="18">
        <v>2</v>
      </c>
      <c r="F2" s="9"/>
      <c r="G2" s="14"/>
      <c r="H2" s="144" t="s">
        <v>29</v>
      </c>
      <c r="I2" s="150">
        <v>4600</v>
      </c>
      <c r="J2" s="17" t="s">
        <v>12</v>
      </c>
      <c r="K2" s="18">
        <v>12</v>
      </c>
      <c r="L2" s="9"/>
      <c r="N2" s="147" t="s">
        <v>45</v>
      </c>
      <c r="O2" s="153"/>
      <c r="P2" s="23" t="s">
        <v>2</v>
      </c>
      <c r="Q2" s="23" t="s">
        <v>21</v>
      </c>
      <c r="R2" s="6"/>
    </row>
    <row r="3" spans="2:18" x14ac:dyDescent="0.4">
      <c r="B3" s="145"/>
      <c r="C3" s="151"/>
      <c r="D3" s="19" t="s">
        <v>2</v>
      </c>
      <c r="E3" s="20" t="s">
        <v>3</v>
      </c>
      <c r="F3" s="10"/>
      <c r="G3" s="14"/>
      <c r="H3" s="145"/>
      <c r="I3" s="151"/>
      <c r="J3" s="19" t="s">
        <v>30</v>
      </c>
      <c r="K3" s="20">
        <v>12</v>
      </c>
      <c r="L3" s="10"/>
      <c r="N3" s="148"/>
      <c r="O3" s="154"/>
      <c r="P3" s="25" t="s">
        <v>34</v>
      </c>
      <c r="Q3" s="25" t="s">
        <v>21</v>
      </c>
      <c r="R3" s="7"/>
    </row>
    <row r="4" spans="2:18" x14ac:dyDescent="0.4">
      <c r="B4" s="145"/>
      <c r="C4" s="151"/>
      <c r="D4" s="19" t="s">
        <v>4</v>
      </c>
      <c r="E4" s="20" t="s">
        <v>3</v>
      </c>
      <c r="F4" s="10"/>
      <c r="G4" s="14"/>
      <c r="H4" s="145"/>
      <c r="I4" s="151"/>
      <c r="J4" s="19" t="s">
        <v>31</v>
      </c>
      <c r="K4" s="20">
        <v>12</v>
      </c>
      <c r="L4" s="10"/>
      <c r="N4" s="148"/>
      <c r="O4" s="154"/>
      <c r="P4" s="25" t="s">
        <v>53</v>
      </c>
      <c r="Q4" s="25" t="s">
        <v>10</v>
      </c>
      <c r="R4" s="7"/>
    </row>
    <row r="5" spans="2:18" ht="16.5" thickBot="1" x14ac:dyDescent="0.45">
      <c r="B5" s="146"/>
      <c r="C5" s="152"/>
      <c r="D5" s="21" t="s">
        <v>79</v>
      </c>
      <c r="E5" s="22">
        <v>2</v>
      </c>
      <c r="F5" s="11"/>
      <c r="G5" s="14"/>
      <c r="H5" s="145"/>
      <c r="I5" s="152"/>
      <c r="J5" s="21" t="s">
        <v>32</v>
      </c>
      <c r="K5" s="22">
        <v>6</v>
      </c>
      <c r="L5" s="11"/>
      <c r="N5" s="148"/>
      <c r="O5" s="154"/>
      <c r="P5" s="25" t="s">
        <v>13</v>
      </c>
      <c r="Q5" s="25" t="s">
        <v>47</v>
      </c>
      <c r="R5" s="7"/>
    </row>
    <row r="6" spans="2:18" ht="36" customHeight="1" thickBot="1" x14ac:dyDescent="0.45">
      <c r="B6" s="147" t="s">
        <v>5</v>
      </c>
      <c r="C6" s="153" t="s">
        <v>11</v>
      </c>
      <c r="D6" s="23" t="s">
        <v>1</v>
      </c>
      <c r="E6" s="24">
        <v>2</v>
      </c>
      <c r="F6" s="9"/>
      <c r="G6" s="14"/>
      <c r="H6" s="145"/>
      <c r="I6" s="29">
        <v>4515</v>
      </c>
      <c r="J6" s="30" t="s">
        <v>33</v>
      </c>
      <c r="K6" s="31">
        <v>6</v>
      </c>
      <c r="L6" s="13"/>
      <c r="N6" s="148"/>
      <c r="O6" s="154"/>
      <c r="P6" s="25" t="s">
        <v>54</v>
      </c>
      <c r="Q6" s="25" t="s">
        <v>46</v>
      </c>
      <c r="R6" s="7"/>
    </row>
    <row r="7" spans="2:18" x14ac:dyDescent="0.4">
      <c r="B7" s="148"/>
      <c r="C7" s="154"/>
      <c r="D7" s="25" t="s">
        <v>2</v>
      </c>
      <c r="E7" s="26" t="s">
        <v>3</v>
      </c>
      <c r="F7" s="10"/>
      <c r="G7" s="14"/>
      <c r="H7" s="145"/>
      <c r="I7" s="150">
        <v>3260</v>
      </c>
      <c r="J7" s="17" t="s">
        <v>2</v>
      </c>
      <c r="K7" s="18" t="s">
        <v>7</v>
      </c>
      <c r="L7" s="9"/>
      <c r="N7" s="148"/>
      <c r="O7" s="154"/>
      <c r="P7" s="25" t="s">
        <v>48</v>
      </c>
      <c r="Q7" s="25" t="s">
        <v>47</v>
      </c>
      <c r="R7" s="7"/>
    </row>
    <row r="8" spans="2:18" x14ac:dyDescent="0.4">
      <c r="B8" s="148"/>
      <c r="C8" s="154"/>
      <c r="D8" s="25" t="s">
        <v>4</v>
      </c>
      <c r="E8" s="26" t="s">
        <v>3</v>
      </c>
      <c r="F8" s="10"/>
      <c r="G8" s="14"/>
      <c r="H8" s="145"/>
      <c r="I8" s="151"/>
      <c r="J8" s="19" t="s">
        <v>17</v>
      </c>
      <c r="K8" s="20" t="s">
        <v>21</v>
      </c>
      <c r="L8" s="10"/>
      <c r="N8" s="148"/>
      <c r="O8" s="154"/>
      <c r="P8" s="25" t="s">
        <v>32</v>
      </c>
      <c r="Q8" s="25" t="s">
        <v>21</v>
      </c>
      <c r="R8" s="7"/>
    </row>
    <row r="9" spans="2:18" ht="16.5" thickBot="1" x14ac:dyDescent="0.45">
      <c r="B9" s="149"/>
      <c r="C9" s="155"/>
      <c r="D9" s="27" t="s">
        <v>79</v>
      </c>
      <c r="E9" s="28">
        <v>2</v>
      </c>
      <c r="F9" s="11"/>
      <c r="G9" s="14"/>
      <c r="H9" s="145"/>
      <c r="I9" s="151"/>
      <c r="J9" s="19" t="s">
        <v>34</v>
      </c>
      <c r="K9" s="20" t="s">
        <v>21</v>
      </c>
      <c r="L9" s="10"/>
      <c r="N9" s="148"/>
      <c r="O9" s="154"/>
      <c r="P9" s="25" t="s">
        <v>49</v>
      </c>
      <c r="Q9" s="25" t="s">
        <v>47</v>
      </c>
      <c r="R9" s="7"/>
    </row>
    <row r="10" spans="2:18" ht="35.15" customHeight="1" x14ac:dyDescent="0.4">
      <c r="B10" s="144" t="s">
        <v>6</v>
      </c>
      <c r="C10" s="150" t="s">
        <v>11</v>
      </c>
      <c r="D10" s="17" t="s">
        <v>79</v>
      </c>
      <c r="E10" s="18">
        <v>2</v>
      </c>
      <c r="F10" s="9"/>
      <c r="G10" s="14"/>
      <c r="H10" s="145"/>
      <c r="I10" s="151"/>
      <c r="J10" s="19" t="s">
        <v>37</v>
      </c>
      <c r="K10" s="20" t="s">
        <v>10</v>
      </c>
      <c r="L10" s="10"/>
      <c r="N10" s="148"/>
      <c r="O10" s="154"/>
      <c r="P10" s="25" t="s">
        <v>50</v>
      </c>
      <c r="Q10" s="25" t="s">
        <v>47</v>
      </c>
      <c r="R10" s="7"/>
    </row>
    <row r="11" spans="2:18" x14ac:dyDescent="0.4">
      <c r="B11" s="145"/>
      <c r="C11" s="151"/>
      <c r="D11" s="19" t="s">
        <v>1</v>
      </c>
      <c r="E11" s="20">
        <v>2</v>
      </c>
      <c r="F11" s="10"/>
      <c r="G11" s="14"/>
      <c r="H11" s="145"/>
      <c r="I11" s="151"/>
      <c r="J11" s="19" t="s">
        <v>35</v>
      </c>
      <c r="K11" s="20" t="s">
        <v>7</v>
      </c>
      <c r="L11" s="10"/>
      <c r="N11" s="148"/>
      <c r="O11" s="154"/>
      <c r="P11" s="25" t="s">
        <v>51</v>
      </c>
      <c r="Q11" s="25" t="s">
        <v>47</v>
      </c>
      <c r="R11" s="7"/>
    </row>
    <row r="12" spans="2:18" x14ac:dyDescent="0.4">
      <c r="B12" s="145"/>
      <c r="C12" s="151"/>
      <c r="D12" s="19" t="s">
        <v>2</v>
      </c>
      <c r="E12" s="20" t="s">
        <v>7</v>
      </c>
      <c r="F12" s="10"/>
      <c r="G12" s="14"/>
      <c r="H12" s="145"/>
      <c r="I12" s="151"/>
      <c r="J12" s="19" t="s">
        <v>36</v>
      </c>
      <c r="K12" s="20" t="s">
        <v>7</v>
      </c>
      <c r="L12" s="10"/>
      <c r="N12" s="148"/>
      <c r="O12" s="154"/>
      <c r="P12" s="25" t="s">
        <v>52</v>
      </c>
      <c r="Q12" s="25" t="s">
        <v>21</v>
      </c>
      <c r="R12" s="7"/>
    </row>
    <row r="13" spans="2:18" ht="32" x14ac:dyDescent="0.4">
      <c r="B13" s="145"/>
      <c r="C13" s="151"/>
      <c r="D13" s="19" t="s">
        <v>8</v>
      </c>
      <c r="E13" s="20" t="s">
        <v>7</v>
      </c>
      <c r="F13" s="10"/>
      <c r="G13" s="14"/>
      <c r="H13" s="145"/>
      <c r="I13" s="151"/>
      <c r="J13" s="19" t="s">
        <v>38</v>
      </c>
      <c r="K13" s="20" t="s">
        <v>21</v>
      </c>
      <c r="L13" s="10"/>
      <c r="N13" s="148"/>
      <c r="O13" s="154"/>
      <c r="P13" s="25" t="s">
        <v>55</v>
      </c>
      <c r="Q13" s="25" t="s">
        <v>10</v>
      </c>
      <c r="R13" s="7"/>
    </row>
    <row r="14" spans="2:18" ht="32.5" thickBot="1" x14ac:dyDescent="0.45">
      <c r="B14" s="145"/>
      <c r="C14" s="152"/>
      <c r="D14" s="21" t="s">
        <v>9</v>
      </c>
      <c r="E14" s="22" t="s">
        <v>10</v>
      </c>
      <c r="F14" s="11"/>
      <c r="G14" s="14"/>
      <c r="H14" s="145"/>
      <c r="I14" s="151"/>
      <c r="J14" s="19" t="s">
        <v>18</v>
      </c>
      <c r="K14" s="20" t="s">
        <v>7</v>
      </c>
      <c r="L14" s="10"/>
      <c r="N14" s="148"/>
      <c r="O14" s="155"/>
      <c r="P14" s="27" t="s">
        <v>56</v>
      </c>
      <c r="Q14" s="27" t="s">
        <v>47</v>
      </c>
      <c r="R14" s="8"/>
    </row>
    <row r="15" spans="2:18" x14ac:dyDescent="0.4">
      <c r="B15" s="145"/>
      <c r="C15" s="150">
        <v>3380</v>
      </c>
      <c r="D15" s="17" t="s">
        <v>12</v>
      </c>
      <c r="E15" s="18">
        <v>2</v>
      </c>
      <c r="F15" s="9"/>
      <c r="G15" s="14"/>
      <c r="H15" s="145"/>
      <c r="I15" s="151"/>
      <c r="J15" s="19" t="s">
        <v>39</v>
      </c>
      <c r="K15" s="20" t="s">
        <v>7</v>
      </c>
      <c r="L15" s="10"/>
      <c r="N15" s="148"/>
      <c r="O15" s="153">
        <v>3670</v>
      </c>
      <c r="P15" s="23" t="s">
        <v>57</v>
      </c>
      <c r="Q15" s="23" t="s">
        <v>47</v>
      </c>
      <c r="R15" s="6"/>
    </row>
    <row r="16" spans="2:18" x14ac:dyDescent="0.4">
      <c r="B16" s="145"/>
      <c r="C16" s="151"/>
      <c r="D16" s="19" t="s">
        <v>2</v>
      </c>
      <c r="E16" s="20" t="s">
        <v>7</v>
      </c>
      <c r="F16" s="10"/>
      <c r="G16" s="14"/>
      <c r="H16" s="145"/>
      <c r="I16" s="151"/>
      <c r="J16" s="19" t="s">
        <v>19</v>
      </c>
      <c r="K16" s="20" t="s">
        <v>10</v>
      </c>
      <c r="L16" s="10"/>
      <c r="N16" s="148"/>
      <c r="O16" s="154"/>
      <c r="P16" s="25" t="s">
        <v>54</v>
      </c>
      <c r="Q16" s="25" t="s">
        <v>46</v>
      </c>
      <c r="R16" s="7"/>
    </row>
    <row r="17" spans="2:18" x14ac:dyDescent="0.4">
      <c r="B17" s="145"/>
      <c r="C17" s="151"/>
      <c r="D17" s="19" t="s">
        <v>13</v>
      </c>
      <c r="E17" s="20" t="s">
        <v>14</v>
      </c>
      <c r="F17" s="10"/>
      <c r="G17" s="14"/>
      <c r="H17" s="145"/>
      <c r="I17" s="151"/>
      <c r="J17" s="19" t="s">
        <v>40</v>
      </c>
      <c r="K17" s="20" t="s">
        <v>7</v>
      </c>
      <c r="L17" s="10"/>
      <c r="N17" s="148"/>
      <c r="O17" s="154"/>
      <c r="P17" s="25" t="s">
        <v>58</v>
      </c>
      <c r="Q17" s="25" t="s">
        <v>59</v>
      </c>
      <c r="R17" s="7"/>
    </row>
    <row r="18" spans="2:18" ht="16.5" thickBot="1" x14ac:dyDescent="0.45">
      <c r="B18" s="145"/>
      <c r="C18" s="151"/>
      <c r="D18" s="19" t="s">
        <v>15</v>
      </c>
      <c r="E18" s="20">
        <v>2</v>
      </c>
      <c r="F18" s="10"/>
      <c r="G18" s="14"/>
      <c r="H18" s="145"/>
      <c r="I18" s="152"/>
      <c r="J18" s="21" t="s">
        <v>41</v>
      </c>
      <c r="K18" s="22" t="s">
        <v>21</v>
      </c>
      <c r="L18" s="11"/>
      <c r="N18" s="148"/>
      <c r="O18" s="154"/>
      <c r="P18" s="25" t="s">
        <v>12</v>
      </c>
      <c r="Q18" s="25">
        <v>10</v>
      </c>
      <c r="R18" s="7"/>
    </row>
    <row r="19" spans="2:18" ht="16.5" thickBot="1" x14ac:dyDescent="0.45">
      <c r="B19" s="145"/>
      <c r="C19" s="151"/>
      <c r="D19" s="19" t="s">
        <v>16</v>
      </c>
      <c r="E19" s="20" t="s">
        <v>14</v>
      </c>
      <c r="F19" s="10"/>
      <c r="G19" s="14"/>
      <c r="H19" s="145"/>
      <c r="I19" s="150">
        <v>3670</v>
      </c>
      <c r="J19" s="17" t="s">
        <v>12</v>
      </c>
      <c r="K19" s="18">
        <v>3</v>
      </c>
      <c r="L19" s="9"/>
      <c r="N19" s="148"/>
      <c r="O19" s="155"/>
      <c r="P19" s="27" t="s">
        <v>17</v>
      </c>
      <c r="Q19" s="27" t="s">
        <v>47</v>
      </c>
      <c r="R19" s="8"/>
    </row>
    <row r="20" spans="2:18" x14ac:dyDescent="0.4">
      <c r="B20" s="145"/>
      <c r="C20" s="151"/>
      <c r="D20" s="19" t="s">
        <v>17</v>
      </c>
      <c r="E20" s="20" t="s">
        <v>7</v>
      </c>
      <c r="F20" s="10"/>
      <c r="G20" s="14"/>
      <c r="H20" s="145"/>
      <c r="I20" s="151"/>
      <c r="J20" s="19" t="s">
        <v>42</v>
      </c>
      <c r="K20" s="20" t="s">
        <v>43</v>
      </c>
      <c r="L20" s="10"/>
      <c r="N20" s="148"/>
      <c r="O20" s="153">
        <v>3450</v>
      </c>
      <c r="P20" s="23" t="s">
        <v>12</v>
      </c>
      <c r="Q20" s="23">
        <v>8</v>
      </c>
      <c r="R20" s="6"/>
    </row>
    <row r="21" spans="2:18" x14ac:dyDescent="0.4">
      <c r="B21" s="145"/>
      <c r="C21" s="151"/>
      <c r="D21" s="19" t="s">
        <v>18</v>
      </c>
      <c r="E21" s="20" t="s">
        <v>7</v>
      </c>
      <c r="F21" s="10"/>
      <c r="G21" s="14"/>
      <c r="H21" s="145"/>
      <c r="I21" s="151"/>
      <c r="J21" s="19" t="s">
        <v>44</v>
      </c>
      <c r="K21" s="20" t="s">
        <v>21</v>
      </c>
      <c r="L21" s="10"/>
      <c r="N21" s="148"/>
      <c r="O21" s="154"/>
      <c r="P21" s="25" t="s">
        <v>57</v>
      </c>
      <c r="Q21" s="25" t="s">
        <v>21</v>
      </c>
      <c r="R21" s="7"/>
    </row>
    <row r="22" spans="2:18" ht="32.5" thickBot="1" x14ac:dyDescent="0.45">
      <c r="B22" s="145"/>
      <c r="C22" s="151"/>
      <c r="D22" s="19" t="s">
        <v>19</v>
      </c>
      <c r="E22" s="20" t="s">
        <v>10</v>
      </c>
      <c r="F22" s="10"/>
      <c r="G22" s="14"/>
      <c r="H22" s="146"/>
      <c r="I22" s="152"/>
      <c r="J22" s="21" t="s">
        <v>17</v>
      </c>
      <c r="K22" s="22" t="s">
        <v>21</v>
      </c>
      <c r="L22" s="11"/>
      <c r="N22" s="148"/>
      <c r="O22" s="154"/>
      <c r="P22" s="25" t="s">
        <v>17</v>
      </c>
      <c r="Q22" s="25" t="s">
        <v>21</v>
      </c>
      <c r="R22" s="7"/>
    </row>
    <row r="23" spans="2:18" ht="16.5" thickBot="1" x14ac:dyDescent="0.45">
      <c r="B23" s="145"/>
      <c r="C23" s="152"/>
      <c r="D23" s="21" t="s">
        <v>20</v>
      </c>
      <c r="E23" s="22" t="s">
        <v>21</v>
      </c>
      <c r="F23" s="11"/>
      <c r="G23" s="14"/>
      <c r="H23" s="3"/>
      <c r="I23" s="3"/>
      <c r="J23" s="3"/>
      <c r="K23" s="3"/>
      <c r="L23" s="3"/>
      <c r="N23" s="148"/>
      <c r="O23" s="154"/>
      <c r="P23" s="25" t="s">
        <v>34</v>
      </c>
      <c r="Q23" s="25" t="s">
        <v>46</v>
      </c>
      <c r="R23" s="7"/>
    </row>
    <row r="24" spans="2:18" ht="16.5" thickBot="1" x14ac:dyDescent="0.45">
      <c r="B24" s="145"/>
      <c r="C24" s="150">
        <v>3390</v>
      </c>
      <c r="D24" s="17" t="s">
        <v>2</v>
      </c>
      <c r="E24" s="18" t="s">
        <v>7</v>
      </c>
      <c r="F24" s="9"/>
      <c r="G24" s="14"/>
      <c r="H24" s="3"/>
      <c r="I24" s="3"/>
      <c r="J24" s="3"/>
      <c r="K24" s="3"/>
      <c r="L24" s="3"/>
      <c r="N24" s="148"/>
      <c r="O24" s="155"/>
      <c r="P24" s="27" t="s">
        <v>54</v>
      </c>
      <c r="Q24" s="27" t="s">
        <v>46</v>
      </c>
      <c r="R24" s="8"/>
    </row>
    <row r="25" spans="2:18" x14ac:dyDescent="0.4">
      <c r="B25" s="145"/>
      <c r="C25" s="151"/>
      <c r="D25" s="19" t="s">
        <v>17</v>
      </c>
      <c r="E25" s="20" t="s">
        <v>7</v>
      </c>
      <c r="F25" s="10"/>
      <c r="G25" s="14"/>
      <c r="H25" s="3"/>
      <c r="I25" s="3"/>
      <c r="J25" s="3"/>
      <c r="K25" s="3"/>
      <c r="L25" s="3"/>
      <c r="N25" s="148"/>
      <c r="O25" s="153">
        <v>3800</v>
      </c>
      <c r="P25" s="23" t="s">
        <v>30</v>
      </c>
      <c r="Q25" s="23">
        <v>17</v>
      </c>
      <c r="R25" s="6"/>
    </row>
    <row r="26" spans="2:18" x14ac:dyDescent="0.4">
      <c r="B26" s="145"/>
      <c r="C26" s="151"/>
      <c r="D26" s="19" t="s">
        <v>12</v>
      </c>
      <c r="E26" s="20">
        <v>8</v>
      </c>
      <c r="F26" s="10"/>
      <c r="G26" s="14"/>
      <c r="H26" s="3"/>
      <c r="I26" s="3"/>
      <c r="J26" s="3"/>
      <c r="K26" s="3"/>
      <c r="L26" s="3"/>
      <c r="N26" s="148"/>
      <c r="O26" s="154"/>
      <c r="P26" s="25" t="s">
        <v>31</v>
      </c>
      <c r="Q26" s="25">
        <v>17</v>
      </c>
      <c r="R26" s="7"/>
    </row>
    <row r="27" spans="2:18" ht="16.5" thickBot="1" x14ac:dyDescent="0.45">
      <c r="B27" s="145"/>
      <c r="C27" s="152"/>
      <c r="D27" s="21" t="s">
        <v>22</v>
      </c>
      <c r="E27" s="22">
        <v>8</v>
      </c>
      <c r="F27" s="11"/>
      <c r="G27" s="14"/>
      <c r="H27" s="3"/>
      <c r="I27" s="3"/>
      <c r="J27" s="3"/>
      <c r="K27" s="3"/>
      <c r="L27" s="3"/>
      <c r="N27" s="148"/>
      <c r="O27" s="155"/>
      <c r="P27" s="27" t="s">
        <v>28</v>
      </c>
      <c r="Q27" s="27"/>
      <c r="R27" s="8"/>
    </row>
    <row r="28" spans="2:18" x14ac:dyDescent="0.4">
      <c r="B28" s="145"/>
      <c r="C28" s="150" t="s">
        <v>23</v>
      </c>
      <c r="D28" s="17" t="s">
        <v>12</v>
      </c>
      <c r="E28" s="18">
        <v>2</v>
      </c>
      <c r="F28" s="9"/>
      <c r="G28" s="14"/>
      <c r="H28" s="3"/>
      <c r="I28" s="3"/>
      <c r="J28" s="3"/>
      <c r="K28" s="3"/>
      <c r="L28" s="3"/>
      <c r="N28" s="148"/>
      <c r="O28" s="153">
        <v>4110</v>
      </c>
      <c r="P28" s="23" t="s">
        <v>12</v>
      </c>
      <c r="Q28" s="23">
        <v>1</v>
      </c>
      <c r="R28" s="6"/>
    </row>
    <row r="29" spans="2:18" ht="16.5" thickBot="1" x14ac:dyDescent="0.45">
      <c r="B29" s="145"/>
      <c r="C29" s="152"/>
      <c r="D29" s="21" t="s">
        <v>24</v>
      </c>
      <c r="E29" s="22">
        <v>2</v>
      </c>
      <c r="F29" s="11"/>
      <c r="G29" s="14"/>
      <c r="H29" s="3"/>
      <c r="I29" s="3"/>
      <c r="J29" s="3"/>
      <c r="K29" s="3"/>
      <c r="L29" s="3"/>
      <c r="N29" s="148"/>
      <c r="O29" s="154"/>
      <c r="P29" s="25" t="s">
        <v>60</v>
      </c>
      <c r="Q29" s="25">
        <v>1</v>
      </c>
      <c r="R29" s="7"/>
    </row>
    <row r="30" spans="2:18" x14ac:dyDescent="0.4">
      <c r="B30" s="145"/>
      <c r="C30" s="150">
        <v>3400</v>
      </c>
      <c r="D30" s="17" t="s">
        <v>12</v>
      </c>
      <c r="E30" s="18">
        <v>41</v>
      </c>
      <c r="F30" s="9"/>
      <c r="G30" s="14"/>
      <c r="H30" s="3"/>
      <c r="I30" s="3"/>
      <c r="J30" s="3"/>
      <c r="K30" s="3"/>
      <c r="L30" s="3"/>
      <c r="N30" s="148"/>
      <c r="O30" s="154"/>
      <c r="P30" s="25" t="s">
        <v>57</v>
      </c>
      <c r="Q30" s="25" t="s">
        <v>21</v>
      </c>
      <c r="R30" s="7"/>
    </row>
    <row r="31" spans="2:18" x14ac:dyDescent="0.4">
      <c r="B31" s="145"/>
      <c r="C31" s="151"/>
      <c r="D31" s="19" t="s">
        <v>25</v>
      </c>
      <c r="E31" s="20">
        <v>41</v>
      </c>
      <c r="F31" s="10"/>
      <c r="G31" s="14"/>
      <c r="H31" s="3"/>
      <c r="I31" s="3"/>
      <c r="J31" s="3"/>
      <c r="K31" s="3"/>
      <c r="L31" s="3"/>
      <c r="N31" s="148"/>
      <c r="O31" s="154"/>
      <c r="P31" s="25" t="s">
        <v>61</v>
      </c>
      <c r="Q31" s="25" t="s">
        <v>21</v>
      </c>
      <c r="R31" s="7"/>
    </row>
    <row r="32" spans="2:18" ht="16.5" thickBot="1" x14ac:dyDescent="0.45">
      <c r="B32" s="145"/>
      <c r="C32" s="152"/>
      <c r="D32" s="21" t="s">
        <v>28</v>
      </c>
      <c r="E32" s="22"/>
      <c r="F32" s="11"/>
      <c r="G32" s="14"/>
      <c r="H32" s="3"/>
      <c r="I32" s="3"/>
      <c r="J32" s="3"/>
      <c r="K32" s="3"/>
      <c r="L32" s="3"/>
      <c r="N32" s="148"/>
      <c r="O32" s="154"/>
      <c r="P32" s="25" t="s">
        <v>34</v>
      </c>
      <c r="Q32" s="25" t="s">
        <v>21</v>
      </c>
      <c r="R32" s="7"/>
    </row>
    <row r="33" spans="2:18" x14ac:dyDescent="0.4">
      <c r="B33" s="145"/>
      <c r="C33" s="150" t="s">
        <v>26</v>
      </c>
      <c r="D33" s="17" t="s">
        <v>12</v>
      </c>
      <c r="E33" s="18">
        <v>1</v>
      </c>
      <c r="F33" s="9"/>
      <c r="G33" s="14"/>
      <c r="H33" s="3"/>
      <c r="I33" s="3"/>
      <c r="J33" s="3"/>
      <c r="K33" s="3"/>
      <c r="L33" s="3"/>
      <c r="N33" s="148"/>
      <c r="O33" s="154"/>
      <c r="P33" s="25" t="s">
        <v>53</v>
      </c>
      <c r="Q33" s="25" t="s">
        <v>10</v>
      </c>
      <c r="R33" s="7"/>
    </row>
    <row r="34" spans="2:18" x14ac:dyDescent="0.4">
      <c r="B34" s="145"/>
      <c r="C34" s="151"/>
      <c r="D34" s="19" t="s">
        <v>24</v>
      </c>
      <c r="E34" s="20">
        <v>1</v>
      </c>
      <c r="F34" s="10"/>
      <c r="G34" s="14"/>
      <c r="H34" s="3"/>
      <c r="I34" s="3"/>
      <c r="J34" s="3"/>
      <c r="K34" s="3"/>
      <c r="L34" s="3"/>
      <c r="N34" s="148"/>
      <c r="O34" s="154"/>
      <c r="P34" s="25" t="s">
        <v>20</v>
      </c>
      <c r="Q34" s="25" t="s">
        <v>7</v>
      </c>
      <c r="R34" s="7"/>
    </row>
    <row r="35" spans="2:18" ht="16.5" thickBot="1" x14ac:dyDescent="0.45">
      <c r="B35" s="145"/>
      <c r="C35" s="152"/>
      <c r="D35" s="21" t="s">
        <v>25</v>
      </c>
      <c r="E35" s="22">
        <v>1</v>
      </c>
      <c r="F35" s="11"/>
      <c r="G35" s="14"/>
      <c r="H35" s="3"/>
      <c r="I35" s="3"/>
      <c r="J35" s="3"/>
      <c r="K35" s="3"/>
      <c r="L35" s="3"/>
      <c r="N35" s="148"/>
      <c r="O35" s="154"/>
      <c r="P35" s="25" t="s">
        <v>35</v>
      </c>
      <c r="Q35" s="25" t="s">
        <v>7</v>
      </c>
      <c r="R35" s="7"/>
    </row>
    <row r="36" spans="2:18" x14ac:dyDescent="0.4">
      <c r="B36" s="145"/>
      <c r="C36" s="150">
        <v>3410</v>
      </c>
      <c r="D36" s="17" t="s">
        <v>12</v>
      </c>
      <c r="E36" s="18">
        <v>2</v>
      </c>
      <c r="F36" s="9"/>
      <c r="G36" s="14"/>
      <c r="H36" s="3"/>
      <c r="I36" s="3"/>
      <c r="J36" s="3"/>
      <c r="K36" s="3"/>
      <c r="L36" s="3"/>
      <c r="N36" s="148"/>
      <c r="O36" s="154"/>
      <c r="P36" s="25" t="s">
        <v>54</v>
      </c>
      <c r="Q36" s="25" t="s">
        <v>46</v>
      </c>
      <c r="R36" s="7"/>
    </row>
    <row r="37" spans="2:18" ht="16.5" thickBot="1" x14ac:dyDescent="0.45">
      <c r="B37" s="146"/>
      <c r="C37" s="152"/>
      <c r="D37" s="21" t="s">
        <v>24</v>
      </c>
      <c r="E37" s="22">
        <v>2</v>
      </c>
      <c r="F37" s="11"/>
      <c r="G37" s="14"/>
      <c r="H37" s="3"/>
      <c r="I37" s="3"/>
      <c r="J37" s="3"/>
      <c r="K37" s="3"/>
      <c r="L37" s="3"/>
      <c r="N37" s="148"/>
      <c r="O37" s="154"/>
      <c r="P37" s="25" t="s">
        <v>36</v>
      </c>
      <c r="Q37" s="25" t="s">
        <v>7</v>
      </c>
      <c r="R37" s="7"/>
    </row>
    <row r="38" spans="2:18" ht="16.5" thickBot="1" x14ac:dyDescent="0.45">
      <c r="D38" s="3"/>
      <c r="E38" s="3"/>
      <c r="F38" s="3"/>
      <c r="G38" s="15"/>
      <c r="H38" s="3"/>
      <c r="I38" s="3"/>
      <c r="J38" s="3"/>
      <c r="K38" s="3"/>
      <c r="L38" s="3"/>
      <c r="N38" s="148"/>
      <c r="O38" s="155"/>
      <c r="P38" s="27" t="s">
        <v>17</v>
      </c>
      <c r="Q38" s="27" t="s">
        <v>21</v>
      </c>
      <c r="R38" s="8"/>
    </row>
    <row r="39" spans="2:18" x14ac:dyDescent="0.4">
      <c r="D39" s="3"/>
      <c r="E39" s="3"/>
      <c r="F39" s="3"/>
      <c r="G39" s="15"/>
      <c r="H39" s="3"/>
      <c r="I39" s="3"/>
      <c r="J39" s="3"/>
      <c r="K39" s="3"/>
      <c r="L39" s="3"/>
      <c r="N39" s="148"/>
      <c r="O39" s="153">
        <v>4507</v>
      </c>
      <c r="P39" s="23" t="s">
        <v>57</v>
      </c>
      <c r="Q39" s="23" t="s">
        <v>7</v>
      </c>
      <c r="R39" s="6"/>
    </row>
    <row r="40" spans="2:18" x14ac:dyDescent="0.4">
      <c r="D40" s="3"/>
      <c r="E40" s="3"/>
      <c r="F40" s="3"/>
      <c r="G40" s="15"/>
      <c r="H40" s="3"/>
      <c r="I40" s="3"/>
      <c r="J40" s="3"/>
      <c r="K40" s="3"/>
      <c r="L40" s="3"/>
      <c r="N40" s="148"/>
      <c r="O40" s="154"/>
      <c r="P40" s="25" t="s">
        <v>62</v>
      </c>
      <c r="Q40" s="25" t="s">
        <v>10</v>
      </c>
      <c r="R40" s="7"/>
    </row>
    <row r="41" spans="2:18" x14ac:dyDescent="0.4">
      <c r="D41" s="3"/>
      <c r="E41" s="3"/>
      <c r="F41" s="3"/>
      <c r="G41" s="15"/>
      <c r="H41" s="3"/>
      <c r="I41" s="3"/>
      <c r="J41" s="3"/>
      <c r="K41" s="3"/>
      <c r="L41" s="3"/>
      <c r="N41" s="148"/>
      <c r="O41" s="154"/>
      <c r="P41" s="25" t="s">
        <v>20</v>
      </c>
      <c r="Q41" s="25" t="s">
        <v>7</v>
      </c>
      <c r="R41" s="7"/>
    </row>
    <row r="42" spans="2:18" x14ac:dyDescent="0.4">
      <c r="D42" s="3"/>
      <c r="E42" s="3"/>
      <c r="F42" s="3"/>
      <c r="G42" s="15"/>
      <c r="H42" s="3"/>
      <c r="I42" s="3"/>
      <c r="J42" s="3"/>
      <c r="K42" s="3"/>
      <c r="L42" s="3"/>
      <c r="N42" s="148"/>
      <c r="O42" s="154"/>
      <c r="P42" s="25" t="s">
        <v>34</v>
      </c>
      <c r="Q42" s="25" t="s">
        <v>21</v>
      </c>
      <c r="R42" s="7"/>
    </row>
    <row r="43" spans="2:18" x14ac:dyDescent="0.4">
      <c r="D43" s="3"/>
      <c r="E43" s="3"/>
      <c r="F43" s="3"/>
      <c r="G43" s="15"/>
      <c r="H43" s="3"/>
      <c r="I43" s="3"/>
      <c r="J43" s="3"/>
      <c r="K43" s="3"/>
      <c r="L43" s="3"/>
      <c r="N43" s="148"/>
      <c r="O43" s="154"/>
      <c r="P43" s="25" t="s">
        <v>54</v>
      </c>
      <c r="Q43" s="25" t="s">
        <v>46</v>
      </c>
      <c r="R43" s="7"/>
    </row>
    <row r="44" spans="2:18" x14ac:dyDescent="0.4">
      <c r="D44" s="3"/>
      <c r="E44" s="3"/>
      <c r="F44" s="3"/>
      <c r="G44" s="15"/>
      <c r="H44" s="3"/>
      <c r="I44" s="3"/>
      <c r="J44" s="3"/>
      <c r="K44" s="3"/>
      <c r="L44" s="3"/>
      <c r="N44" s="148"/>
      <c r="O44" s="154"/>
      <c r="P44" s="25" t="s">
        <v>17</v>
      </c>
      <c r="Q44" s="25" t="s">
        <v>46</v>
      </c>
      <c r="R44" s="7"/>
    </row>
    <row r="45" spans="2:18" x14ac:dyDescent="0.4">
      <c r="D45" s="3"/>
      <c r="E45" s="3"/>
      <c r="F45" s="3"/>
      <c r="G45" s="15"/>
      <c r="H45" s="3"/>
      <c r="I45" s="3"/>
      <c r="J45" s="3"/>
      <c r="K45" s="3"/>
      <c r="L45" s="3"/>
      <c r="N45" s="148"/>
      <c r="O45" s="154"/>
      <c r="P45" s="25" t="s">
        <v>12</v>
      </c>
      <c r="Q45" s="25">
        <v>1</v>
      </c>
      <c r="R45" s="7"/>
    </row>
    <row r="46" spans="2:18" x14ac:dyDescent="0.4">
      <c r="D46" s="3"/>
      <c r="E46" s="3"/>
      <c r="F46" s="3"/>
      <c r="G46" s="15"/>
      <c r="H46" s="3"/>
      <c r="I46" s="3"/>
      <c r="J46" s="3"/>
      <c r="K46" s="3"/>
      <c r="L46" s="3"/>
      <c r="N46" s="148"/>
      <c r="O46" s="154"/>
      <c r="P46" s="25" t="s">
        <v>63</v>
      </c>
      <c r="Q46" s="25">
        <v>1</v>
      </c>
      <c r="R46" s="7"/>
    </row>
    <row r="47" spans="2:18" x14ac:dyDescent="0.4">
      <c r="D47" s="3"/>
      <c r="E47" s="3"/>
      <c r="F47" s="3"/>
      <c r="G47" s="15"/>
      <c r="H47" s="3"/>
      <c r="I47" s="3"/>
      <c r="J47" s="3"/>
      <c r="K47" s="3"/>
      <c r="L47" s="3"/>
      <c r="N47" s="148"/>
      <c r="O47" s="154"/>
      <c r="P47" s="25" t="s">
        <v>64</v>
      </c>
      <c r="Q47" s="25">
        <v>5</v>
      </c>
      <c r="R47" s="7"/>
    </row>
    <row r="48" spans="2:18" x14ac:dyDescent="0.4">
      <c r="D48" s="3"/>
      <c r="E48" s="3"/>
      <c r="F48" s="3"/>
      <c r="G48" s="15"/>
      <c r="H48" s="3"/>
      <c r="I48" s="3"/>
      <c r="J48" s="3"/>
      <c r="K48" s="3"/>
      <c r="L48" s="3"/>
      <c r="N48" s="148"/>
      <c r="O48" s="154"/>
      <c r="P48" s="25" t="s">
        <v>65</v>
      </c>
      <c r="Q48" s="25" t="s">
        <v>46</v>
      </c>
      <c r="R48" s="7"/>
    </row>
    <row r="49" spans="4:18" x14ac:dyDescent="0.4">
      <c r="D49" s="3"/>
      <c r="E49" s="3"/>
      <c r="F49" s="3"/>
      <c r="G49" s="15"/>
      <c r="H49" s="3"/>
      <c r="I49" s="3"/>
      <c r="J49" s="3"/>
      <c r="K49" s="3"/>
      <c r="L49" s="3"/>
      <c r="N49" s="148"/>
      <c r="O49" s="154"/>
      <c r="P49" s="25" t="s">
        <v>30</v>
      </c>
      <c r="Q49" s="25" t="s">
        <v>66</v>
      </c>
      <c r="R49" s="7"/>
    </row>
    <row r="50" spans="4:18" x14ac:dyDescent="0.4">
      <c r="D50" s="3"/>
      <c r="E50" s="3"/>
      <c r="F50" s="3"/>
      <c r="G50" s="15"/>
      <c r="H50" s="3"/>
      <c r="I50" s="3"/>
      <c r="J50" s="3"/>
      <c r="K50" s="3"/>
      <c r="L50" s="3"/>
      <c r="N50" s="148"/>
      <c r="O50" s="154"/>
      <c r="P50" s="25" t="s">
        <v>31</v>
      </c>
      <c r="Q50" s="25" t="s">
        <v>66</v>
      </c>
      <c r="R50" s="7"/>
    </row>
    <row r="51" spans="4:18" ht="16.5" thickBot="1" x14ac:dyDescent="0.45">
      <c r="D51" s="3"/>
      <c r="E51" s="3"/>
      <c r="F51" s="3"/>
      <c r="G51" s="15"/>
      <c r="H51" s="3"/>
      <c r="I51" s="3"/>
      <c r="J51" s="3"/>
      <c r="K51" s="3"/>
      <c r="L51" s="3"/>
      <c r="N51" s="148"/>
      <c r="O51" s="155"/>
      <c r="P51" s="27" t="s">
        <v>67</v>
      </c>
      <c r="Q51" s="27" t="s">
        <v>66</v>
      </c>
      <c r="R51" s="8"/>
    </row>
    <row r="52" spans="4:18" x14ac:dyDescent="0.4">
      <c r="D52" s="3"/>
      <c r="E52" s="3"/>
      <c r="F52" s="3"/>
      <c r="G52" s="15"/>
      <c r="H52" s="3"/>
      <c r="I52" s="3"/>
      <c r="J52" s="3"/>
      <c r="K52" s="3"/>
      <c r="L52" s="3"/>
      <c r="N52" s="148"/>
      <c r="O52" s="153">
        <v>3910</v>
      </c>
      <c r="P52" s="23" t="s">
        <v>27</v>
      </c>
      <c r="Q52" s="23"/>
      <c r="R52" s="6"/>
    </row>
    <row r="53" spans="4:18" x14ac:dyDescent="0.4">
      <c r="D53" s="3"/>
      <c r="E53" s="3"/>
      <c r="F53" s="3"/>
      <c r="G53" s="15"/>
      <c r="H53" s="3"/>
      <c r="I53" s="3"/>
      <c r="J53" s="3"/>
      <c r="K53" s="3"/>
      <c r="L53" s="3"/>
      <c r="N53" s="148"/>
      <c r="O53" s="154"/>
      <c r="P53" s="25" t="s">
        <v>57</v>
      </c>
      <c r="Q53" s="25" t="s">
        <v>21</v>
      </c>
      <c r="R53" s="7"/>
    </row>
    <row r="54" spans="4:18" x14ac:dyDescent="0.4">
      <c r="D54" s="3"/>
      <c r="E54" s="3"/>
      <c r="F54" s="3"/>
      <c r="G54" s="15"/>
      <c r="H54" s="3"/>
      <c r="I54" s="3"/>
      <c r="J54" s="3"/>
      <c r="K54" s="3"/>
      <c r="L54" s="3"/>
      <c r="N54" s="148"/>
      <c r="O54" s="154"/>
      <c r="P54" s="25" t="s">
        <v>70</v>
      </c>
      <c r="Q54" s="25" t="s">
        <v>46</v>
      </c>
      <c r="R54" s="7"/>
    </row>
    <row r="55" spans="4:18" x14ac:dyDescent="0.4">
      <c r="D55" s="3"/>
      <c r="E55" s="3"/>
      <c r="F55" s="3"/>
      <c r="G55" s="15"/>
      <c r="H55" s="3"/>
      <c r="I55" s="3"/>
      <c r="J55" s="3"/>
      <c r="K55" s="3"/>
      <c r="L55" s="3"/>
      <c r="N55" s="148"/>
      <c r="O55" s="154"/>
      <c r="P55" s="25" t="s">
        <v>1</v>
      </c>
      <c r="Q55" s="25">
        <v>2</v>
      </c>
      <c r="R55" s="7"/>
    </row>
    <row r="56" spans="4:18" x14ac:dyDescent="0.4">
      <c r="D56" s="3"/>
      <c r="E56" s="3"/>
      <c r="F56" s="3"/>
      <c r="G56" s="15"/>
      <c r="H56" s="3"/>
      <c r="I56" s="3"/>
      <c r="J56" s="3"/>
      <c r="K56" s="3"/>
      <c r="L56" s="3"/>
      <c r="N56" s="148"/>
      <c r="O56" s="154"/>
      <c r="P56" s="25" t="s">
        <v>68</v>
      </c>
      <c r="Q56" s="25" t="s">
        <v>69</v>
      </c>
      <c r="R56" s="7"/>
    </row>
    <row r="57" spans="4:18" x14ac:dyDescent="0.4">
      <c r="D57" s="3"/>
      <c r="E57" s="3"/>
      <c r="F57" s="3"/>
      <c r="G57" s="15"/>
      <c r="H57" s="3"/>
      <c r="I57" s="3"/>
      <c r="J57" s="3"/>
      <c r="K57" s="3"/>
      <c r="L57" s="3"/>
      <c r="N57" s="148"/>
      <c r="O57" s="154"/>
      <c r="P57" s="25" t="s">
        <v>72</v>
      </c>
      <c r="Q57" s="25" t="s">
        <v>46</v>
      </c>
      <c r="R57" s="7"/>
    </row>
    <row r="58" spans="4:18" x14ac:dyDescent="0.4">
      <c r="D58" s="3"/>
      <c r="E58" s="3"/>
      <c r="F58" s="3"/>
      <c r="G58" s="15"/>
      <c r="H58" s="3"/>
      <c r="I58" s="3"/>
      <c r="J58" s="3"/>
      <c r="K58" s="3"/>
      <c r="L58" s="3"/>
      <c r="N58" s="148"/>
      <c r="O58" s="154"/>
      <c r="P58" s="25" t="s">
        <v>30</v>
      </c>
      <c r="Q58" s="25">
        <v>23</v>
      </c>
      <c r="R58" s="7"/>
    </row>
    <row r="59" spans="4:18" x14ac:dyDescent="0.4">
      <c r="D59" s="3"/>
      <c r="E59" s="3"/>
      <c r="F59" s="3"/>
      <c r="G59" s="15"/>
      <c r="H59" s="3"/>
      <c r="I59" s="3"/>
      <c r="J59" s="3"/>
      <c r="K59" s="3"/>
      <c r="L59" s="3"/>
      <c r="N59" s="148"/>
      <c r="O59" s="154"/>
      <c r="P59" s="25" t="s">
        <v>31</v>
      </c>
      <c r="Q59" s="25">
        <v>23</v>
      </c>
      <c r="R59" s="7"/>
    </row>
    <row r="60" spans="4:18" x14ac:dyDescent="0.4">
      <c r="D60" s="3"/>
      <c r="E60" s="3"/>
      <c r="F60" s="3"/>
      <c r="G60" s="15"/>
      <c r="H60" s="3"/>
      <c r="I60" s="3"/>
      <c r="J60" s="3"/>
      <c r="K60" s="3"/>
      <c r="L60" s="3"/>
      <c r="N60" s="148"/>
      <c r="O60" s="154"/>
      <c r="P60" s="25" t="s">
        <v>71</v>
      </c>
      <c r="Q60" s="25" t="s">
        <v>46</v>
      </c>
      <c r="R60" s="7"/>
    </row>
    <row r="61" spans="4:18" x14ac:dyDescent="0.4">
      <c r="D61" s="3"/>
      <c r="E61" s="3"/>
      <c r="F61" s="3"/>
      <c r="G61" s="15"/>
      <c r="H61" s="3"/>
      <c r="I61" s="3"/>
      <c r="J61" s="3"/>
      <c r="K61" s="3"/>
      <c r="L61" s="3"/>
      <c r="N61" s="148"/>
      <c r="O61" s="154"/>
      <c r="P61" s="25" t="s">
        <v>68</v>
      </c>
      <c r="Q61" s="25" t="s">
        <v>69</v>
      </c>
      <c r="R61" s="7"/>
    </row>
    <row r="62" spans="4:18" x14ac:dyDescent="0.4">
      <c r="D62" s="3"/>
      <c r="E62" s="3"/>
      <c r="F62" s="3"/>
      <c r="G62" s="15"/>
      <c r="H62" s="3"/>
      <c r="I62" s="3"/>
      <c r="J62" s="3"/>
      <c r="K62" s="3"/>
      <c r="L62" s="3"/>
      <c r="N62" s="148"/>
      <c r="O62" s="154"/>
      <c r="P62" s="25" t="s">
        <v>74</v>
      </c>
      <c r="Q62" s="25" t="s">
        <v>46</v>
      </c>
      <c r="R62" s="7"/>
    </row>
    <row r="63" spans="4:18" x14ac:dyDescent="0.4">
      <c r="D63" s="3"/>
      <c r="E63" s="3"/>
      <c r="F63" s="3"/>
      <c r="G63" s="15"/>
      <c r="H63" s="3"/>
      <c r="I63" s="3"/>
      <c r="J63" s="3"/>
      <c r="K63" s="3"/>
      <c r="L63" s="3"/>
      <c r="N63" s="148"/>
      <c r="O63" s="154"/>
      <c r="P63" s="25" t="s">
        <v>1</v>
      </c>
      <c r="Q63" s="25">
        <v>2</v>
      </c>
      <c r="R63" s="7"/>
    </row>
    <row r="64" spans="4:18" ht="16.5" thickBot="1" x14ac:dyDescent="0.45">
      <c r="D64" s="3"/>
      <c r="E64" s="3"/>
      <c r="F64" s="3"/>
      <c r="G64" s="15"/>
      <c r="H64" s="3"/>
      <c r="I64" s="3"/>
      <c r="J64" s="3"/>
      <c r="K64" s="3"/>
      <c r="L64" s="3"/>
      <c r="N64" s="148"/>
      <c r="O64" s="155"/>
      <c r="P64" s="27" t="s">
        <v>73</v>
      </c>
      <c r="Q64" s="27" t="s">
        <v>21</v>
      </c>
      <c r="R64" s="8"/>
    </row>
    <row r="65" spans="4:18" x14ac:dyDescent="0.4">
      <c r="D65" s="3"/>
      <c r="E65" s="3"/>
      <c r="F65" s="3"/>
      <c r="G65" s="15"/>
      <c r="H65" s="3"/>
      <c r="I65" s="3"/>
      <c r="J65" s="3"/>
      <c r="K65" s="3"/>
      <c r="L65" s="3"/>
      <c r="N65" s="148"/>
      <c r="O65" s="153">
        <v>4600</v>
      </c>
      <c r="P65" s="23" t="s">
        <v>75</v>
      </c>
      <c r="Q65" s="23">
        <v>1</v>
      </c>
      <c r="R65" s="6"/>
    </row>
    <row r="66" spans="4:18" x14ac:dyDescent="0.4">
      <c r="D66" s="3"/>
      <c r="E66" s="3"/>
      <c r="F66" s="3"/>
      <c r="G66" s="15"/>
      <c r="H66" s="3"/>
      <c r="I66" s="3"/>
      <c r="J66" s="3"/>
      <c r="K66" s="3"/>
      <c r="L66" s="3"/>
      <c r="N66" s="148"/>
      <c r="O66" s="154"/>
      <c r="P66" s="25" t="s">
        <v>76</v>
      </c>
      <c r="Q66" s="25" t="s">
        <v>21</v>
      </c>
      <c r="R66" s="7"/>
    </row>
    <row r="67" spans="4:18" x14ac:dyDescent="0.4">
      <c r="D67" s="3"/>
      <c r="E67" s="3"/>
      <c r="F67" s="3"/>
      <c r="G67" s="15"/>
      <c r="H67" s="3"/>
      <c r="I67" s="3"/>
      <c r="J67" s="3"/>
      <c r="K67" s="3"/>
      <c r="L67" s="3"/>
      <c r="N67" s="148"/>
      <c r="O67" s="154"/>
      <c r="P67" s="25" t="s">
        <v>77</v>
      </c>
      <c r="Q67" s="25">
        <v>3</v>
      </c>
      <c r="R67" s="7"/>
    </row>
    <row r="68" spans="4:18" x14ac:dyDescent="0.4">
      <c r="D68" s="3"/>
      <c r="E68" s="3"/>
      <c r="F68" s="3"/>
      <c r="G68" s="15"/>
      <c r="H68" s="3"/>
      <c r="I68" s="3"/>
      <c r="J68" s="3"/>
      <c r="K68" s="3"/>
      <c r="L68" s="3"/>
      <c r="N68" s="148"/>
      <c r="O68" s="154"/>
      <c r="P68" s="25" t="s">
        <v>30</v>
      </c>
      <c r="Q68" s="25">
        <v>8</v>
      </c>
      <c r="R68" s="7"/>
    </row>
    <row r="69" spans="4:18" x14ac:dyDescent="0.4">
      <c r="D69" s="3"/>
      <c r="E69" s="3"/>
      <c r="F69" s="3"/>
      <c r="G69" s="15"/>
      <c r="H69" s="3"/>
      <c r="I69" s="3"/>
      <c r="J69" s="3"/>
      <c r="K69" s="3"/>
      <c r="L69" s="3"/>
      <c r="N69" s="148"/>
      <c r="O69" s="154"/>
      <c r="P69" s="25" t="s">
        <v>31</v>
      </c>
      <c r="Q69" s="25">
        <v>8</v>
      </c>
      <c r="R69" s="7"/>
    </row>
    <row r="70" spans="4:18" x14ac:dyDescent="0.4">
      <c r="D70" s="3"/>
      <c r="E70" s="3"/>
      <c r="F70" s="3"/>
      <c r="G70" s="15"/>
      <c r="H70" s="3"/>
      <c r="I70" s="3"/>
      <c r="J70" s="3"/>
      <c r="K70" s="3"/>
      <c r="L70" s="3"/>
      <c r="N70" s="148"/>
      <c r="O70" s="154"/>
      <c r="P70" s="25" t="s">
        <v>75</v>
      </c>
      <c r="Q70" s="25">
        <v>16</v>
      </c>
      <c r="R70" s="7"/>
    </row>
    <row r="71" spans="4:18" ht="16.5" thickBot="1" x14ac:dyDescent="0.45">
      <c r="D71" s="3"/>
      <c r="E71" s="3"/>
      <c r="F71" s="3"/>
      <c r="G71" s="15"/>
      <c r="H71" s="3"/>
      <c r="I71" s="3"/>
      <c r="J71" s="3"/>
      <c r="K71" s="3"/>
      <c r="L71" s="3"/>
      <c r="N71" s="149"/>
      <c r="O71" s="155"/>
      <c r="P71" s="27" t="s">
        <v>78</v>
      </c>
      <c r="Q71" s="27">
        <v>8</v>
      </c>
      <c r="R71" s="8"/>
    </row>
  </sheetData>
  <mergeCells count="25">
    <mergeCell ref="O2:O14"/>
    <mergeCell ref="O15:O19"/>
    <mergeCell ref="I2:I5"/>
    <mergeCell ref="I7:I18"/>
    <mergeCell ref="N2:N71"/>
    <mergeCell ref="I19:I22"/>
    <mergeCell ref="O65:O71"/>
    <mergeCell ref="O20:O24"/>
    <mergeCell ref="O25:O27"/>
    <mergeCell ref="O28:O38"/>
    <mergeCell ref="O52:O64"/>
    <mergeCell ref="O39:O51"/>
    <mergeCell ref="B2:B5"/>
    <mergeCell ref="B6:B9"/>
    <mergeCell ref="B10:B37"/>
    <mergeCell ref="H2:H22"/>
    <mergeCell ref="C10:C14"/>
    <mergeCell ref="C2:C5"/>
    <mergeCell ref="C6:C9"/>
    <mergeCell ref="C15:C23"/>
    <mergeCell ref="C28:C29"/>
    <mergeCell ref="C33:C35"/>
    <mergeCell ref="C24:C27"/>
    <mergeCell ref="C30:C32"/>
    <mergeCell ref="C36:C37"/>
  </mergeCells>
  <phoneticPr fontId="18" type="noConversion"/>
  <pageMargins left="0.7" right="0.7" top="0.75" bottom="0.75" header="0.3" footer="0.3"/>
  <pageSetup paperSize="9" orientation="portrait" r:id="rId1"/>
  <headerFooter>
    <oddHeader>&amp;RASE Confidential / Security-C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"/>
  <sheetViews>
    <sheetView showGridLines="0" topLeftCell="M1" zoomScale="55" zoomScaleNormal="55" workbookViewId="0">
      <pane ySplit="3" topLeftCell="A22" activePane="bottomLeft" state="frozenSplit"/>
      <selection pane="bottomLeft" activeCell="Z44" sqref="Z44"/>
    </sheetView>
  </sheetViews>
  <sheetFormatPr defaultRowHeight="17" x14ac:dyDescent="0.4"/>
  <cols>
    <col min="1" max="1" width="0" style="54" hidden="1" customWidth="1"/>
    <col min="2" max="2" width="10.90625" hidden="1" customWidth="1"/>
    <col min="3" max="3" width="10.453125" hidden="1" customWidth="1"/>
    <col min="4" max="4" width="16.7265625" hidden="1" customWidth="1"/>
    <col min="5" max="5" width="13.453125" hidden="1" customWidth="1"/>
    <col min="6" max="9" width="10.26953125" style="54" hidden="1" customWidth="1"/>
    <col min="10" max="10" width="11.453125" hidden="1" customWidth="1"/>
    <col min="11" max="11" width="50.6328125" hidden="1" customWidth="1"/>
    <col min="12" max="12" width="0" hidden="1" customWidth="1"/>
    <col min="14" max="14" width="14.90625" customWidth="1"/>
    <col min="16" max="16" width="16.26953125" bestFit="1" customWidth="1"/>
    <col min="17" max="17" width="12.26953125" bestFit="1" customWidth="1"/>
  </cols>
  <sheetData>
    <row r="1" spans="2:17" s="54" customFormat="1" x14ac:dyDescent="0.4">
      <c r="D1" s="87" t="s">
        <v>193</v>
      </c>
      <c r="E1" s="88" t="s">
        <v>194</v>
      </c>
      <c r="F1" s="88">
        <v>0</v>
      </c>
      <c r="G1" s="87" t="s">
        <v>195</v>
      </c>
      <c r="H1" s="88">
        <v>1</v>
      </c>
    </row>
    <row r="2" spans="2:17" s="54" customFormat="1" ht="17.5" thickBot="1" x14ac:dyDescent="0.45"/>
    <row r="3" spans="2:17" ht="21" thickBot="1" x14ac:dyDescent="0.45">
      <c r="B3" s="71" t="s">
        <v>101</v>
      </c>
      <c r="C3" s="37" t="s">
        <v>81</v>
      </c>
      <c r="D3" s="50" t="s">
        <v>83</v>
      </c>
      <c r="E3" s="90" t="s">
        <v>85</v>
      </c>
      <c r="F3" s="86" t="s">
        <v>189</v>
      </c>
      <c r="G3" s="86" t="s">
        <v>190</v>
      </c>
      <c r="H3" s="86" t="s">
        <v>191</v>
      </c>
      <c r="I3" s="86" t="s">
        <v>192</v>
      </c>
      <c r="J3" s="74" t="s">
        <v>100</v>
      </c>
      <c r="K3" s="73" t="s">
        <v>86</v>
      </c>
    </row>
    <row r="4" spans="2:17" ht="16" customHeight="1" thickBot="1" x14ac:dyDescent="0.45">
      <c r="B4" s="171" t="s">
        <v>99</v>
      </c>
      <c r="C4" s="79" t="s">
        <v>0</v>
      </c>
      <c r="D4" s="78" t="s">
        <v>11</v>
      </c>
      <c r="E4" s="129">
        <f>MAX(F4:I4)</f>
        <v>1</v>
      </c>
      <c r="F4" s="130">
        <v>1</v>
      </c>
      <c r="G4" s="130"/>
      <c r="H4" s="130"/>
      <c r="I4" s="130"/>
      <c r="J4" s="168">
        <f>E28</f>
        <v>1</v>
      </c>
      <c r="K4" s="131" t="s">
        <v>103</v>
      </c>
    </row>
    <row r="5" spans="2:17" ht="16" customHeight="1" thickBot="1" x14ac:dyDescent="0.45">
      <c r="B5" s="172"/>
      <c r="C5" s="127" t="s">
        <v>5</v>
      </c>
      <c r="D5" s="80" t="s">
        <v>11</v>
      </c>
      <c r="E5" s="129">
        <f t="shared" ref="E5:E27" si="0">MAX(F5:I5)</f>
        <v>1</v>
      </c>
      <c r="F5" s="130">
        <v>1</v>
      </c>
      <c r="G5" s="130"/>
      <c r="H5" s="130"/>
      <c r="I5" s="130"/>
      <c r="J5" s="169"/>
      <c r="K5" s="131" t="s">
        <v>103</v>
      </c>
      <c r="N5" s="36" t="s">
        <v>97</v>
      </c>
      <c r="O5" s="36" t="s">
        <v>98</v>
      </c>
      <c r="P5" s="36" t="s">
        <v>228</v>
      </c>
      <c r="Q5" s="128" t="s">
        <v>229</v>
      </c>
    </row>
    <row r="6" spans="2:17" ht="16" customHeight="1" thickBot="1" x14ac:dyDescent="0.45">
      <c r="B6" s="172"/>
      <c r="C6" s="175" t="s">
        <v>230</v>
      </c>
      <c r="D6" s="76" t="s">
        <v>11</v>
      </c>
      <c r="E6" s="132">
        <f t="shared" si="0"/>
        <v>1</v>
      </c>
      <c r="F6" s="130">
        <v>1</v>
      </c>
      <c r="G6" s="133"/>
      <c r="H6" s="133"/>
      <c r="I6" s="133"/>
      <c r="J6" s="169"/>
      <c r="K6" s="131" t="s">
        <v>103</v>
      </c>
      <c r="N6" s="34" t="s">
        <v>92</v>
      </c>
      <c r="O6" s="34" t="s">
        <v>93</v>
      </c>
      <c r="P6" s="70">
        <f>'妥善率(K18.K21.K25 不停電)'!G2</f>
        <v>0</v>
      </c>
      <c r="Q6" s="70">
        <f>1-P6</f>
        <v>1</v>
      </c>
    </row>
    <row r="7" spans="2:17" ht="16" customHeight="1" thickBot="1" x14ac:dyDescent="0.45">
      <c r="B7" s="172"/>
      <c r="C7" s="159"/>
      <c r="D7" s="76" t="s">
        <v>173</v>
      </c>
      <c r="E7" s="134">
        <f t="shared" si="0"/>
        <v>1</v>
      </c>
      <c r="F7" s="130">
        <v>1</v>
      </c>
      <c r="G7" s="135"/>
      <c r="H7" s="135"/>
      <c r="I7" s="135"/>
      <c r="J7" s="169"/>
      <c r="K7" s="131" t="s">
        <v>103</v>
      </c>
    </row>
    <row r="8" spans="2:17" ht="16" customHeight="1" thickBot="1" x14ac:dyDescent="0.45">
      <c r="B8" s="172"/>
      <c r="C8" s="159"/>
      <c r="D8" s="76">
        <v>3390</v>
      </c>
      <c r="E8" s="134">
        <f t="shared" si="0"/>
        <v>1</v>
      </c>
      <c r="F8" s="130">
        <v>1</v>
      </c>
      <c r="G8" s="135"/>
      <c r="H8" s="135"/>
      <c r="I8" s="135"/>
      <c r="J8" s="169"/>
      <c r="K8" s="131" t="s">
        <v>103</v>
      </c>
    </row>
    <row r="9" spans="2:17" ht="16" customHeight="1" thickBot="1" x14ac:dyDescent="0.45">
      <c r="B9" s="172"/>
      <c r="C9" s="159"/>
      <c r="D9" s="76" t="s">
        <v>23</v>
      </c>
      <c r="E9" s="134">
        <f t="shared" si="0"/>
        <v>1</v>
      </c>
      <c r="F9" s="130">
        <v>1</v>
      </c>
      <c r="G9" s="135"/>
      <c r="H9" s="135"/>
      <c r="I9" s="135"/>
      <c r="J9" s="169"/>
      <c r="K9" s="131" t="s">
        <v>103</v>
      </c>
    </row>
    <row r="10" spans="2:17" ht="17.5" thickBot="1" x14ac:dyDescent="0.45">
      <c r="B10" s="172"/>
      <c r="C10" s="159"/>
      <c r="D10" s="76">
        <v>3400</v>
      </c>
      <c r="E10" s="134">
        <f t="shared" si="0"/>
        <v>1</v>
      </c>
      <c r="F10" s="130">
        <v>1</v>
      </c>
      <c r="G10" s="135"/>
      <c r="H10" s="135"/>
      <c r="I10" s="135"/>
      <c r="J10" s="169"/>
      <c r="K10" s="131" t="s">
        <v>103</v>
      </c>
    </row>
    <row r="11" spans="2:17" ht="16" customHeight="1" thickBot="1" x14ac:dyDescent="0.45">
      <c r="B11" s="172"/>
      <c r="C11" s="159"/>
      <c r="D11" s="76" t="s">
        <v>26</v>
      </c>
      <c r="E11" s="134">
        <f t="shared" si="0"/>
        <v>1</v>
      </c>
      <c r="F11" s="130">
        <v>1</v>
      </c>
      <c r="G11" s="135"/>
      <c r="H11" s="135"/>
      <c r="I11" s="135"/>
      <c r="J11" s="169"/>
      <c r="K11" s="131" t="s">
        <v>103</v>
      </c>
      <c r="N11" s="35" t="s">
        <v>97</v>
      </c>
      <c r="O11" s="35" t="s">
        <v>98</v>
      </c>
      <c r="P11" s="36" t="s">
        <v>228</v>
      </c>
      <c r="Q11" s="128" t="s">
        <v>229</v>
      </c>
    </row>
    <row r="12" spans="2:17" ht="16" customHeight="1" thickBot="1" x14ac:dyDescent="0.45">
      <c r="B12" s="172"/>
      <c r="C12" s="176"/>
      <c r="D12" s="76">
        <v>3410</v>
      </c>
      <c r="E12" s="136">
        <f t="shared" si="0"/>
        <v>1</v>
      </c>
      <c r="F12" s="130">
        <v>1</v>
      </c>
      <c r="G12" s="137"/>
      <c r="H12" s="137"/>
      <c r="I12" s="137"/>
      <c r="J12" s="169"/>
      <c r="K12" s="131" t="s">
        <v>103</v>
      </c>
      <c r="N12" s="167" t="s">
        <v>94</v>
      </c>
      <c r="O12" s="104" t="s">
        <v>95</v>
      </c>
      <c r="P12" s="117">
        <f>[1]彙整資料!$R$30</f>
        <v>1</v>
      </c>
      <c r="Q12" s="70">
        <f t="shared" ref="Q12:Q14" si="1">1-P12</f>
        <v>0</v>
      </c>
    </row>
    <row r="13" spans="2:17" ht="18.75" customHeight="1" thickBot="1" x14ac:dyDescent="0.45">
      <c r="B13" s="172"/>
      <c r="C13" s="175" t="s">
        <v>231</v>
      </c>
      <c r="D13" s="76">
        <v>4600</v>
      </c>
      <c r="E13" s="132">
        <f t="shared" si="0"/>
        <v>1</v>
      </c>
      <c r="F13" s="130">
        <v>1</v>
      </c>
      <c r="G13" s="133"/>
      <c r="H13" s="133"/>
      <c r="I13" s="133"/>
      <c r="J13" s="169"/>
      <c r="K13" s="131" t="s">
        <v>103</v>
      </c>
      <c r="N13" s="167"/>
      <c r="O13" s="104" t="s">
        <v>96</v>
      </c>
      <c r="P13" s="117">
        <f>'妥善率(K18.K21.K25 不停電)'!W2</f>
        <v>0</v>
      </c>
      <c r="Q13" s="70">
        <f t="shared" si="1"/>
        <v>1</v>
      </c>
    </row>
    <row r="14" spans="2:17" ht="16" customHeight="1" thickBot="1" x14ac:dyDescent="0.45">
      <c r="B14" s="172"/>
      <c r="C14" s="159"/>
      <c r="D14" s="76" t="s">
        <v>174</v>
      </c>
      <c r="E14" s="134">
        <f t="shared" si="0"/>
        <v>1</v>
      </c>
      <c r="F14" s="130">
        <v>1</v>
      </c>
      <c r="G14" s="135"/>
      <c r="H14" s="135"/>
      <c r="I14" s="135"/>
      <c r="J14" s="169"/>
      <c r="K14" s="131" t="s">
        <v>103</v>
      </c>
      <c r="N14" s="167"/>
      <c r="O14" s="104" t="s">
        <v>197</v>
      </c>
      <c r="P14" s="117">
        <f>[1]彙整資料!$R$42</f>
        <v>1</v>
      </c>
      <c r="Q14" s="70">
        <f t="shared" si="1"/>
        <v>0</v>
      </c>
    </row>
    <row r="15" spans="2:17" ht="17.5" thickBot="1" x14ac:dyDescent="0.45">
      <c r="B15" s="172"/>
      <c r="C15" s="160"/>
      <c r="D15" s="76">
        <v>3670</v>
      </c>
      <c r="E15" s="136">
        <f t="shared" si="0"/>
        <v>1</v>
      </c>
      <c r="F15" s="130">
        <v>1</v>
      </c>
      <c r="G15" s="137"/>
      <c r="H15" s="137"/>
      <c r="I15" s="137"/>
      <c r="J15" s="169"/>
      <c r="K15" s="131" t="s">
        <v>103</v>
      </c>
    </row>
    <row r="16" spans="2:17" ht="16" customHeight="1" thickBot="1" x14ac:dyDescent="0.45">
      <c r="B16" s="172"/>
      <c r="C16" s="158" t="s">
        <v>45</v>
      </c>
      <c r="D16" s="75" t="s">
        <v>174</v>
      </c>
      <c r="E16" s="132">
        <f t="shared" si="0"/>
        <v>1</v>
      </c>
      <c r="F16" s="130">
        <v>1</v>
      </c>
      <c r="G16" s="133"/>
      <c r="H16" s="133"/>
      <c r="I16" s="133"/>
      <c r="J16" s="169"/>
      <c r="K16" s="131" t="s">
        <v>103</v>
      </c>
    </row>
    <row r="17" spans="2:11" ht="16" customHeight="1" thickBot="1" x14ac:dyDescent="0.45">
      <c r="B17" s="172"/>
      <c r="C17" s="159"/>
      <c r="D17" s="76">
        <v>3670</v>
      </c>
      <c r="E17" s="132">
        <f t="shared" si="0"/>
        <v>1</v>
      </c>
      <c r="F17" s="130">
        <v>1</v>
      </c>
      <c r="G17" s="135"/>
      <c r="H17" s="135"/>
      <c r="I17" s="135"/>
      <c r="J17" s="169"/>
      <c r="K17" s="131" t="s">
        <v>103</v>
      </c>
    </row>
    <row r="18" spans="2:11" ht="17.5" thickBot="1" x14ac:dyDescent="0.45">
      <c r="B18" s="172"/>
      <c r="C18" s="159"/>
      <c r="D18" s="76">
        <v>3450</v>
      </c>
      <c r="E18" s="132">
        <f t="shared" si="0"/>
        <v>1</v>
      </c>
      <c r="F18" s="133">
        <v>1</v>
      </c>
      <c r="G18" s="135"/>
      <c r="H18" s="135"/>
      <c r="I18" s="135"/>
      <c r="J18" s="169"/>
      <c r="K18" s="131" t="s">
        <v>103</v>
      </c>
    </row>
    <row r="19" spans="2:11" ht="17.5" thickBot="1" x14ac:dyDescent="0.45">
      <c r="B19" s="172"/>
      <c r="C19" s="159"/>
      <c r="D19" s="76">
        <v>3800</v>
      </c>
      <c r="E19" s="132">
        <f t="shared" si="0"/>
        <v>1</v>
      </c>
      <c r="F19" s="133">
        <v>1</v>
      </c>
      <c r="G19" s="135"/>
      <c r="H19" s="135"/>
      <c r="I19" s="135"/>
      <c r="J19" s="169"/>
      <c r="K19" s="131" t="s">
        <v>103</v>
      </c>
    </row>
    <row r="20" spans="2:11" ht="15.75" customHeight="1" thickBot="1" x14ac:dyDescent="0.45">
      <c r="B20" s="172"/>
      <c r="C20" s="159"/>
      <c r="D20" s="76">
        <v>4110</v>
      </c>
      <c r="E20" s="132">
        <f t="shared" si="0"/>
        <v>1</v>
      </c>
      <c r="F20" s="133">
        <v>1</v>
      </c>
      <c r="G20" s="135"/>
      <c r="H20" s="135"/>
      <c r="I20" s="135"/>
      <c r="J20" s="169"/>
      <c r="K20" s="131" t="s">
        <v>103</v>
      </c>
    </row>
    <row r="21" spans="2:11" ht="16" customHeight="1" thickBot="1" x14ac:dyDescent="0.45">
      <c r="B21" s="172"/>
      <c r="C21" s="159"/>
      <c r="D21" s="76">
        <v>4507</v>
      </c>
      <c r="E21" s="132">
        <f t="shared" si="0"/>
        <v>1</v>
      </c>
      <c r="F21" s="133">
        <v>1</v>
      </c>
      <c r="G21" s="135"/>
      <c r="H21" s="135"/>
      <c r="I21" s="135"/>
      <c r="J21" s="169"/>
      <c r="K21" s="131" t="s">
        <v>103</v>
      </c>
    </row>
    <row r="22" spans="2:11" ht="16.5" customHeight="1" thickBot="1" x14ac:dyDescent="0.45">
      <c r="B22" s="172"/>
      <c r="C22" s="159"/>
      <c r="D22" s="76">
        <v>3910</v>
      </c>
      <c r="E22" s="132">
        <f t="shared" si="0"/>
        <v>1</v>
      </c>
      <c r="F22" s="133">
        <v>1</v>
      </c>
      <c r="G22" s="135"/>
      <c r="H22" s="135"/>
      <c r="I22" s="135"/>
      <c r="J22" s="169"/>
      <c r="K22" s="131" t="s">
        <v>103</v>
      </c>
    </row>
    <row r="23" spans="2:11" ht="16" customHeight="1" thickBot="1" x14ac:dyDescent="0.45">
      <c r="B23" s="172"/>
      <c r="C23" s="159"/>
      <c r="D23" s="76">
        <v>4600</v>
      </c>
      <c r="E23" s="134">
        <f t="shared" si="0"/>
        <v>1</v>
      </c>
      <c r="F23" s="133">
        <v>1</v>
      </c>
      <c r="G23" s="135"/>
      <c r="H23" s="135"/>
      <c r="I23" s="135"/>
      <c r="J23" s="169"/>
      <c r="K23" s="131" t="s">
        <v>103</v>
      </c>
    </row>
    <row r="24" spans="2:11" ht="16" customHeight="1" thickBot="1" x14ac:dyDescent="0.45">
      <c r="B24" s="172"/>
      <c r="C24" s="160"/>
      <c r="D24" s="77" t="s">
        <v>182</v>
      </c>
      <c r="E24" s="136">
        <f t="shared" si="0"/>
        <v>1</v>
      </c>
      <c r="F24" s="133">
        <v>1</v>
      </c>
      <c r="G24" s="137"/>
      <c r="H24" s="137"/>
      <c r="I24" s="137"/>
      <c r="J24" s="169"/>
      <c r="K24" s="131" t="s">
        <v>103</v>
      </c>
    </row>
    <row r="25" spans="2:11" s="54" customFormat="1" ht="16" customHeight="1" thickBot="1" x14ac:dyDescent="0.45">
      <c r="B25" s="172"/>
      <c r="C25" s="158" t="s">
        <v>183</v>
      </c>
      <c r="D25" s="75" t="s">
        <v>179</v>
      </c>
      <c r="E25" s="138">
        <f t="shared" si="0"/>
        <v>1</v>
      </c>
      <c r="F25" s="133">
        <v>1</v>
      </c>
      <c r="G25" s="133"/>
      <c r="H25" s="133"/>
      <c r="I25" s="133"/>
      <c r="J25" s="169"/>
      <c r="K25" s="131" t="s">
        <v>103</v>
      </c>
    </row>
    <row r="26" spans="2:11" s="54" customFormat="1" ht="16" customHeight="1" thickBot="1" x14ac:dyDescent="0.45">
      <c r="B26" s="172"/>
      <c r="C26" s="159"/>
      <c r="D26" s="76" t="s">
        <v>180</v>
      </c>
      <c r="E26" s="139">
        <f>MAX(F26:I26)</f>
        <v>1</v>
      </c>
      <c r="F26" s="133">
        <v>1</v>
      </c>
      <c r="G26" s="135"/>
      <c r="H26" s="135"/>
      <c r="I26" s="135"/>
      <c r="J26" s="169"/>
      <c r="K26" s="131" t="s">
        <v>103</v>
      </c>
    </row>
    <row r="27" spans="2:11" s="54" customFormat="1" ht="16" customHeight="1" thickBot="1" x14ac:dyDescent="0.45">
      <c r="B27" s="173"/>
      <c r="C27" s="160"/>
      <c r="D27" s="92" t="s">
        <v>181</v>
      </c>
      <c r="E27" s="136">
        <f t="shared" si="0"/>
        <v>1</v>
      </c>
      <c r="F27" s="133">
        <v>1</v>
      </c>
      <c r="G27" s="137"/>
      <c r="H27" s="137"/>
      <c r="I27" s="137"/>
      <c r="J27" s="170"/>
      <c r="K27" s="140" t="s">
        <v>103</v>
      </c>
    </row>
    <row r="28" spans="2:11" s="54" customFormat="1" ht="17.5" thickBot="1" x14ac:dyDescent="0.45">
      <c r="B28" s="81"/>
      <c r="C28" s="156" t="s">
        <v>187</v>
      </c>
      <c r="D28" s="174"/>
      <c r="E28" s="91">
        <f>SUM(E4:E27)/24</f>
        <v>1</v>
      </c>
      <c r="F28" s="83"/>
      <c r="G28" s="83"/>
      <c r="H28" s="83"/>
      <c r="I28" s="83"/>
    </row>
    <row r="29" spans="2:11" s="54" customFormat="1" ht="24" customHeight="1" thickBot="1" x14ac:dyDescent="0.45">
      <c r="B29" s="73" t="s">
        <v>101</v>
      </c>
      <c r="C29" s="82" t="s">
        <v>81</v>
      </c>
      <c r="D29" s="73" t="s">
        <v>83</v>
      </c>
      <c r="E29" s="90" t="s">
        <v>85</v>
      </c>
      <c r="F29" s="86" t="s">
        <v>189</v>
      </c>
      <c r="G29" s="86" t="s">
        <v>190</v>
      </c>
      <c r="H29" s="86" t="s">
        <v>191</v>
      </c>
      <c r="I29" s="86" t="s">
        <v>192</v>
      </c>
      <c r="J29" s="84" t="s">
        <v>100</v>
      </c>
      <c r="K29" s="49" t="s">
        <v>86</v>
      </c>
    </row>
    <row r="30" spans="2:11" ht="17.149999999999999" customHeight="1" thickBot="1" x14ac:dyDescent="0.45">
      <c r="B30" s="161" t="s">
        <v>102</v>
      </c>
      <c r="C30" s="158" t="s">
        <v>87</v>
      </c>
      <c r="D30" s="93" t="s">
        <v>173</v>
      </c>
      <c r="E30" s="132">
        <f t="shared" ref="E30:E57" si="2">MAX(F30:I30)</f>
        <v>1</v>
      </c>
      <c r="F30" s="133">
        <v>1</v>
      </c>
      <c r="G30" s="133"/>
      <c r="H30" s="133"/>
      <c r="I30" s="133"/>
      <c r="J30" s="168">
        <f>SUM(E30:E34)/5</f>
        <v>1</v>
      </c>
      <c r="K30" s="141" t="s">
        <v>103</v>
      </c>
    </row>
    <row r="31" spans="2:11" ht="17.149999999999999" customHeight="1" thickBot="1" x14ac:dyDescent="0.45">
      <c r="B31" s="162"/>
      <c r="C31" s="159"/>
      <c r="D31" s="94">
        <v>3390</v>
      </c>
      <c r="E31" s="134">
        <f t="shared" si="2"/>
        <v>1</v>
      </c>
      <c r="F31" s="133">
        <v>1</v>
      </c>
      <c r="G31" s="135"/>
      <c r="H31" s="135"/>
      <c r="I31" s="135"/>
      <c r="J31" s="169"/>
      <c r="K31" s="141" t="s">
        <v>103</v>
      </c>
    </row>
    <row r="32" spans="2:11" ht="16" customHeight="1" thickBot="1" x14ac:dyDescent="0.45">
      <c r="B32" s="162"/>
      <c r="C32" s="160"/>
      <c r="D32" s="95">
        <v>3190</v>
      </c>
      <c r="E32" s="136">
        <f t="shared" si="2"/>
        <v>1</v>
      </c>
      <c r="F32" s="133">
        <v>1</v>
      </c>
      <c r="G32" s="137"/>
      <c r="H32" s="137"/>
      <c r="I32" s="137"/>
      <c r="J32" s="169"/>
      <c r="K32" s="141" t="s">
        <v>177</v>
      </c>
    </row>
    <row r="33" spans="2:11" ht="16" customHeight="1" thickBot="1" x14ac:dyDescent="0.45">
      <c r="B33" s="162"/>
      <c r="C33" s="158" t="s">
        <v>89</v>
      </c>
      <c r="D33" s="93">
        <v>3600</v>
      </c>
      <c r="E33" s="136">
        <f t="shared" si="2"/>
        <v>1</v>
      </c>
      <c r="F33" s="133">
        <v>1</v>
      </c>
      <c r="G33" s="133"/>
      <c r="H33" s="133"/>
      <c r="I33" s="133"/>
      <c r="J33" s="169"/>
      <c r="K33" s="141" t="s">
        <v>178</v>
      </c>
    </row>
    <row r="34" spans="2:11" ht="16" customHeight="1" thickBot="1" x14ac:dyDescent="0.45">
      <c r="B34" s="162"/>
      <c r="C34" s="160"/>
      <c r="D34" s="95" t="s">
        <v>88</v>
      </c>
      <c r="E34" s="136">
        <f t="shared" si="2"/>
        <v>1</v>
      </c>
      <c r="F34" s="133">
        <v>1</v>
      </c>
      <c r="G34" s="137"/>
      <c r="H34" s="137"/>
      <c r="I34" s="137"/>
      <c r="J34" s="170"/>
      <c r="K34" s="142" t="s">
        <v>103</v>
      </c>
    </row>
    <row r="35" spans="2:11" ht="16" customHeight="1" thickBot="1" x14ac:dyDescent="0.45">
      <c r="B35" s="162"/>
      <c r="C35" s="164" t="s">
        <v>91</v>
      </c>
      <c r="D35" s="93" t="s">
        <v>184</v>
      </c>
      <c r="E35" s="136">
        <f t="shared" si="2"/>
        <v>1</v>
      </c>
      <c r="F35" s="133">
        <v>1</v>
      </c>
      <c r="G35" s="133"/>
      <c r="H35" s="133"/>
      <c r="I35" s="133"/>
      <c r="J35" s="168">
        <f>SUM(E35:E41)/7</f>
        <v>1</v>
      </c>
      <c r="K35" s="141" t="s">
        <v>103</v>
      </c>
    </row>
    <row r="36" spans="2:11" ht="16" customHeight="1" thickBot="1" x14ac:dyDescent="0.45">
      <c r="B36" s="162"/>
      <c r="C36" s="165"/>
      <c r="D36" s="94">
        <v>3390</v>
      </c>
      <c r="E36" s="136">
        <f t="shared" si="2"/>
        <v>1</v>
      </c>
      <c r="F36" s="133">
        <v>1</v>
      </c>
      <c r="G36" s="135"/>
      <c r="H36" s="135"/>
      <c r="I36" s="135"/>
      <c r="J36" s="169"/>
      <c r="K36" s="141" t="s">
        <v>103</v>
      </c>
    </row>
    <row r="37" spans="2:11" ht="16" customHeight="1" thickBot="1" x14ac:dyDescent="0.45">
      <c r="B37" s="162"/>
      <c r="C37" s="165"/>
      <c r="D37" s="94" t="s">
        <v>170</v>
      </c>
      <c r="E37" s="136">
        <f t="shared" si="2"/>
        <v>1</v>
      </c>
      <c r="F37" s="133">
        <v>1</v>
      </c>
      <c r="G37" s="135"/>
      <c r="H37" s="135"/>
      <c r="I37" s="135"/>
      <c r="J37" s="169"/>
      <c r="K37" s="141" t="s">
        <v>103</v>
      </c>
    </row>
    <row r="38" spans="2:11" ht="17.149999999999999" customHeight="1" thickBot="1" x14ac:dyDescent="0.45">
      <c r="B38" s="162"/>
      <c r="C38" s="165"/>
      <c r="D38" s="94">
        <v>3400</v>
      </c>
      <c r="E38" s="134">
        <f t="shared" si="2"/>
        <v>1</v>
      </c>
      <c r="F38" s="133">
        <v>1</v>
      </c>
      <c r="G38" s="135"/>
      <c r="H38" s="135"/>
      <c r="I38" s="135"/>
      <c r="J38" s="169"/>
      <c r="K38" s="141" t="s">
        <v>176</v>
      </c>
    </row>
    <row r="39" spans="2:11" ht="16" customHeight="1" thickBot="1" x14ac:dyDescent="0.45">
      <c r="B39" s="162"/>
      <c r="C39" s="166"/>
      <c r="D39" s="95">
        <v>3410</v>
      </c>
      <c r="E39" s="136">
        <f t="shared" si="2"/>
        <v>1</v>
      </c>
      <c r="F39" s="133">
        <v>1</v>
      </c>
      <c r="G39" s="137"/>
      <c r="H39" s="137"/>
      <c r="I39" s="137"/>
      <c r="J39" s="169"/>
      <c r="K39" s="141" t="s">
        <v>175</v>
      </c>
    </row>
    <row r="40" spans="2:11" s="54" customFormat="1" ht="16" customHeight="1" thickBot="1" x14ac:dyDescent="0.45">
      <c r="B40" s="162"/>
      <c r="C40" s="164" t="s">
        <v>90</v>
      </c>
      <c r="D40" s="93" t="s">
        <v>173</v>
      </c>
      <c r="E40" s="132">
        <f t="shared" si="2"/>
        <v>1</v>
      </c>
      <c r="F40" s="133">
        <v>1</v>
      </c>
      <c r="G40" s="133"/>
      <c r="H40" s="133"/>
      <c r="I40" s="133"/>
      <c r="J40" s="169"/>
      <c r="K40" s="141" t="s">
        <v>103</v>
      </c>
    </row>
    <row r="41" spans="2:11" ht="16" customHeight="1" thickBot="1" x14ac:dyDescent="0.45">
      <c r="B41" s="162"/>
      <c r="C41" s="166"/>
      <c r="D41" s="95">
        <v>3390</v>
      </c>
      <c r="E41" s="136">
        <f t="shared" si="2"/>
        <v>1</v>
      </c>
      <c r="F41" s="133">
        <v>1</v>
      </c>
      <c r="G41" s="137"/>
      <c r="H41" s="137"/>
      <c r="I41" s="137"/>
      <c r="J41" s="170"/>
      <c r="K41" s="143" t="s">
        <v>103</v>
      </c>
    </row>
    <row r="42" spans="2:11" ht="17.5" customHeight="1" thickBot="1" x14ac:dyDescent="0.45">
      <c r="B42" s="162"/>
      <c r="C42" s="158" t="s">
        <v>185</v>
      </c>
      <c r="D42" s="93">
        <v>2845</v>
      </c>
      <c r="E42" s="132">
        <f t="shared" si="2"/>
        <v>1</v>
      </c>
      <c r="F42" s="133">
        <v>1</v>
      </c>
      <c r="G42" s="133"/>
      <c r="H42" s="133"/>
      <c r="I42" s="133"/>
      <c r="J42" s="168">
        <f>SUM(E42:E57)/16</f>
        <v>1</v>
      </c>
      <c r="K42" s="143" t="s">
        <v>103</v>
      </c>
    </row>
    <row r="43" spans="2:11" ht="17.5" thickBot="1" x14ac:dyDescent="0.45">
      <c r="B43" s="162"/>
      <c r="C43" s="159"/>
      <c r="D43" s="94">
        <v>2880</v>
      </c>
      <c r="E43" s="136">
        <f t="shared" si="2"/>
        <v>1</v>
      </c>
      <c r="F43" s="133">
        <v>1</v>
      </c>
      <c r="G43" s="135"/>
      <c r="H43" s="135"/>
      <c r="I43" s="135"/>
      <c r="J43" s="169"/>
      <c r="K43" s="143" t="s">
        <v>103</v>
      </c>
    </row>
    <row r="44" spans="2:11" ht="17.5" thickBot="1" x14ac:dyDescent="0.45">
      <c r="B44" s="162"/>
      <c r="C44" s="159"/>
      <c r="D44" s="94">
        <v>2900</v>
      </c>
      <c r="E44" s="136">
        <f t="shared" si="2"/>
        <v>1</v>
      </c>
      <c r="F44" s="133">
        <v>1</v>
      </c>
      <c r="G44" s="135"/>
      <c r="H44" s="135"/>
      <c r="I44" s="135"/>
      <c r="J44" s="169"/>
      <c r="K44" s="143" t="s">
        <v>103</v>
      </c>
    </row>
    <row r="45" spans="2:11" ht="21" customHeight="1" thickBot="1" x14ac:dyDescent="0.45">
      <c r="B45" s="162"/>
      <c r="C45" s="159"/>
      <c r="D45" s="94">
        <v>3190</v>
      </c>
      <c r="E45" s="136">
        <f t="shared" si="2"/>
        <v>1</v>
      </c>
      <c r="F45" s="133">
        <v>1</v>
      </c>
      <c r="G45" s="135"/>
      <c r="H45" s="135"/>
      <c r="I45" s="135"/>
      <c r="J45" s="169"/>
      <c r="K45" s="143" t="s">
        <v>103</v>
      </c>
    </row>
    <row r="46" spans="2:11" ht="17.5" thickBot="1" x14ac:dyDescent="0.45">
      <c r="B46" s="162"/>
      <c r="C46" s="159"/>
      <c r="D46" s="94">
        <v>3450</v>
      </c>
      <c r="E46" s="134">
        <f t="shared" si="2"/>
        <v>1</v>
      </c>
      <c r="F46" s="133">
        <v>1</v>
      </c>
      <c r="G46" s="135"/>
      <c r="H46" s="135"/>
      <c r="I46" s="135"/>
      <c r="J46" s="169"/>
      <c r="K46" s="143" t="s">
        <v>103</v>
      </c>
    </row>
    <row r="47" spans="2:11" ht="17.5" thickBot="1" x14ac:dyDescent="0.45">
      <c r="B47" s="162"/>
      <c r="C47" s="159"/>
      <c r="D47" s="94">
        <v>3260</v>
      </c>
      <c r="E47" s="134">
        <f t="shared" si="2"/>
        <v>1</v>
      </c>
      <c r="F47" s="133">
        <v>1</v>
      </c>
      <c r="G47" s="135"/>
      <c r="H47" s="135"/>
      <c r="I47" s="135"/>
      <c r="J47" s="169"/>
      <c r="K47" s="143" t="s">
        <v>103</v>
      </c>
    </row>
    <row r="48" spans="2:11" ht="17.5" thickBot="1" x14ac:dyDescent="0.45">
      <c r="B48" s="162"/>
      <c r="C48" s="159"/>
      <c r="D48" s="94">
        <v>3800</v>
      </c>
      <c r="E48" s="134">
        <f t="shared" si="2"/>
        <v>1</v>
      </c>
      <c r="F48" s="135">
        <v>1</v>
      </c>
      <c r="G48" s="135"/>
      <c r="H48" s="135"/>
      <c r="I48" s="135"/>
      <c r="J48" s="169"/>
      <c r="K48" s="143" t="s">
        <v>103</v>
      </c>
    </row>
    <row r="49" spans="2:11" ht="17.5" thickBot="1" x14ac:dyDescent="0.45">
      <c r="B49" s="162"/>
      <c r="C49" s="159"/>
      <c r="D49" s="94">
        <v>4110</v>
      </c>
      <c r="E49" s="134">
        <f>MAX(F49:I49)</f>
        <v>1</v>
      </c>
      <c r="F49" s="133">
        <v>1</v>
      </c>
      <c r="G49" s="135"/>
      <c r="H49" s="135"/>
      <c r="I49" s="135"/>
      <c r="J49" s="169"/>
      <c r="K49" s="143" t="s">
        <v>103</v>
      </c>
    </row>
    <row r="50" spans="2:11" ht="17.5" thickBot="1" x14ac:dyDescent="0.45">
      <c r="B50" s="162"/>
      <c r="C50" s="159"/>
      <c r="D50" s="94">
        <v>3670</v>
      </c>
      <c r="E50" s="134">
        <f t="shared" si="2"/>
        <v>1</v>
      </c>
      <c r="F50" s="133">
        <v>1</v>
      </c>
      <c r="G50" s="135"/>
      <c r="H50" s="135"/>
      <c r="I50" s="135"/>
      <c r="J50" s="169"/>
      <c r="K50" s="143" t="s">
        <v>103</v>
      </c>
    </row>
    <row r="51" spans="2:11" ht="17.5" thickBot="1" x14ac:dyDescent="0.45">
      <c r="B51" s="162"/>
      <c r="C51" s="160"/>
      <c r="D51" s="95">
        <v>4507</v>
      </c>
      <c r="E51" s="136">
        <f t="shared" si="2"/>
        <v>1</v>
      </c>
      <c r="F51" s="133">
        <v>1</v>
      </c>
      <c r="G51" s="137"/>
      <c r="H51" s="137"/>
      <c r="I51" s="137"/>
      <c r="J51" s="169"/>
      <c r="K51" s="143" t="s">
        <v>103</v>
      </c>
    </row>
    <row r="52" spans="2:11" ht="17.5" thickBot="1" x14ac:dyDescent="0.45">
      <c r="B52" s="162"/>
      <c r="C52" s="158" t="s">
        <v>186</v>
      </c>
      <c r="D52" s="93">
        <v>3910</v>
      </c>
      <c r="E52" s="132">
        <f t="shared" si="2"/>
        <v>1</v>
      </c>
      <c r="F52" s="133">
        <v>1</v>
      </c>
      <c r="G52" s="133"/>
      <c r="H52" s="133"/>
      <c r="I52" s="133"/>
      <c r="J52" s="169"/>
      <c r="K52" s="143" t="s">
        <v>103</v>
      </c>
    </row>
    <row r="53" spans="2:11" ht="17.5" thickBot="1" x14ac:dyDescent="0.45">
      <c r="B53" s="162"/>
      <c r="C53" s="159"/>
      <c r="D53" s="94">
        <v>4600</v>
      </c>
      <c r="E53" s="134">
        <f t="shared" si="2"/>
        <v>1</v>
      </c>
      <c r="F53" s="133">
        <v>1</v>
      </c>
      <c r="G53" s="135"/>
      <c r="H53" s="135"/>
      <c r="I53" s="135"/>
      <c r="J53" s="169"/>
      <c r="K53" s="143" t="s">
        <v>103</v>
      </c>
    </row>
    <row r="54" spans="2:11" ht="17.5" thickBot="1" x14ac:dyDescent="0.45">
      <c r="B54" s="162"/>
      <c r="C54" s="159"/>
      <c r="D54" s="94">
        <v>4950</v>
      </c>
      <c r="E54" s="134">
        <f t="shared" si="2"/>
        <v>1</v>
      </c>
      <c r="F54" s="133">
        <v>1</v>
      </c>
      <c r="G54" s="135"/>
      <c r="H54" s="135"/>
      <c r="I54" s="135"/>
      <c r="J54" s="169"/>
      <c r="K54" s="143" t="s">
        <v>103</v>
      </c>
    </row>
    <row r="55" spans="2:11" ht="17.5" thickBot="1" x14ac:dyDescent="0.45">
      <c r="B55" s="162"/>
      <c r="C55" s="159"/>
      <c r="D55" s="94">
        <v>5070</v>
      </c>
      <c r="E55" s="134">
        <f t="shared" si="2"/>
        <v>1</v>
      </c>
      <c r="F55" s="133">
        <v>1</v>
      </c>
      <c r="G55" s="135"/>
      <c r="H55" s="135"/>
      <c r="I55" s="135"/>
      <c r="J55" s="169"/>
      <c r="K55" s="143" t="s">
        <v>103</v>
      </c>
    </row>
    <row r="56" spans="2:11" ht="17.5" thickBot="1" x14ac:dyDescent="0.45">
      <c r="B56" s="162"/>
      <c r="C56" s="159"/>
      <c r="D56" s="94">
        <v>5100</v>
      </c>
      <c r="E56" s="134">
        <f>MAX(F56:I56)</f>
        <v>1</v>
      </c>
      <c r="F56" s="133">
        <v>1</v>
      </c>
      <c r="G56" s="135"/>
      <c r="H56" s="135"/>
      <c r="I56" s="135"/>
      <c r="J56" s="169"/>
      <c r="K56" s="143" t="s">
        <v>103</v>
      </c>
    </row>
    <row r="57" spans="2:11" ht="17.149999999999999" customHeight="1" thickBot="1" x14ac:dyDescent="0.45">
      <c r="B57" s="163"/>
      <c r="C57" s="160"/>
      <c r="D57" s="95">
        <v>5150</v>
      </c>
      <c r="E57" s="136">
        <f t="shared" si="2"/>
        <v>1</v>
      </c>
      <c r="F57" s="133">
        <v>1</v>
      </c>
      <c r="G57" s="137"/>
      <c r="H57" s="137"/>
      <c r="I57" s="137"/>
      <c r="J57" s="170"/>
      <c r="K57" s="143" t="s">
        <v>103</v>
      </c>
    </row>
    <row r="58" spans="2:11" ht="17.5" thickBot="1" x14ac:dyDescent="0.45">
      <c r="B58" s="85"/>
      <c r="C58" s="156" t="s">
        <v>188</v>
      </c>
      <c r="D58" s="157"/>
      <c r="E58" s="89">
        <f>SUM(E30:E57)/28</f>
        <v>1</v>
      </c>
      <c r="F58" s="83"/>
      <c r="G58" s="83"/>
      <c r="H58" s="83"/>
      <c r="I58" s="83"/>
      <c r="J58" s="54"/>
      <c r="K58" s="54"/>
    </row>
  </sheetData>
  <mergeCells count="19">
    <mergeCell ref="N12:N14"/>
    <mergeCell ref="J42:J57"/>
    <mergeCell ref="J30:J34"/>
    <mergeCell ref="J35:J41"/>
    <mergeCell ref="B4:B27"/>
    <mergeCell ref="C25:C27"/>
    <mergeCell ref="C28:D28"/>
    <mergeCell ref="C6:C12"/>
    <mergeCell ref="C16:C24"/>
    <mergeCell ref="J4:J27"/>
    <mergeCell ref="C13:C15"/>
    <mergeCell ref="C58:D58"/>
    <mergeCell ref="C52:C57"/>
    <mergeCell ref="B30:B57"/>
    <mergeCell ref="C42:C51"/>
    <mergeCell ref="C35:C39"/>
    <mergeCell ref="C40:C41"/>
    <mergeCell ref="C30:C32"/>
    <mergeCell ref="C33:C34"/>
  </mergeCells>
  <phoneticPr fontId="18" type="noConversion"/>
  <conditionalFormatting sqref="F58:I58">
    <cfRule type="iconSet" priority="34">
      <iconSet>
        <cfvo type="percent" val="0"/>
        <cfvo type="percent" val="50"/>
        <cfvo type="percent" val="90" gte="0"/>
      </iconSet>
    </cfRule>
  </conditionalFormatting>
  <conditionalFormatting sqref="E58:J1048576 E41:E42 G41:I41 G42:J42 E1:J30 E31:I40 E43:I57">
    <cfRule type="iconSet" priority="4">
      <iconSet>
        <cfvo type="percent" val="0"/>
        <cfvo type="percent" val="50"/>
        <cfvo type="percent" val="80"/>
      </iconSet>
    </cfRule>
  </conditionalFormatting>
  <conditionalFormatting sqref="J35">
    <cfRule type="iconSet" priority="2">
      <iconSet>
        <cfvo type="percent" val="0"/>
        <cfvo type="percent" val="50"/>
        <cfvo type="percent" val="80"/>
      </iconSet>
    </cfRule>
  </conditionalFormatting>
  <conditionalFormatting sqref="F41:F42">
    <cfRule type="iconSet" priority="1">
      <iconSet>
        <cfvo type="percent" val="0"/>
        <cfvo type="percent" val="50"/>
        <cfvo type="percent" val="80"/>
      </iconSet>
    </cfRule>
  </conditionalFormatting>
  <pageMargins left="0.7" right="0.7" top="0.75" bottom="0.75" header="0.3" footer="0.3"/>
  <pageSetup paperSize="9" orientation="portrait" horizontalDpi="90" verticalDpi="90" r:id="rId1"/>
  <headerFooter>
    <oddHeader>&amp;RASE Confidential / Security-C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E140"/>
  <sheetViews>
    <sheetView zoomScale="85" zoomScaleNormal="85" workbookViewId="0">
      <selection activeCell="Q121" sqref="Q121"/>
    </sheetView>
  </sheetViews>
  <sheetFormatPr defaultColWidth="2.6328125" defaultRowHeight="17" x14ac:dyDescent="0.4"/>
  <cols>
    <col min="1" max="1" width="2.6328125" style="54"/>
    <col min="2" max="2" width="8.08984375" style="54" bestFit="1" customWidth="1"/>
    <col min="3" max="3" width="13.36328125" style="54" bestFit="1" customWidth="1"/>
    <col min="4" max="4" width="19.6328125" style="54" customWidth="1"/>
    <col min="5" max="5" width="6.90625" style="54" customWidth="1"/>
    <col min="6" max="6" width="7.453125" style="54" customWidth="1"/>
    <col min="7" max="7" width="13.08984375" style="54" customWidth="1"/>
    <col min="8" max="9" width="3.90625" style="54" customWidth="1"/>
    <col min="10" max="10" width="8.08984375" style="54" hidden="1" customWidth="1"/>
    <col min="11" max="11" width="13.36328125" style="54" hidden="1" customWidth="1"/>
    <col min="12" max="12" width="19.453125" style="54" hidden="1" customWidth="1"/>
    <col min="13" max="13" width="6.90625" style="54" hidden="1" customWidth="1"/>
    <col min="14" max="14" width="7.453125" style="54" hidden="1" customWidth="1"/>
    <col min="15" max="15" width="13.08984375" style="54" hidden="1" customWidth="1"/>
    <col min="16" max="17" width="3.90625" style="54" customWidth="1"/>
    <col min="18" max="18" width="8.08984375" style="54" bestFit="1" customWidth="1"/>
    <col min="19" max="19" width="13.36328125" style="54" bestFit="1" customWidth="1"/>
    <col min="20" max="20" width="18.36328125" style="54" customWidth="1"/>
    <col min="21" max="21" width="6.90625" style="54" customWidth="1"/>
    <col min="22" max="22" width="7.453125" style="54" customWidth="1"/>
    <col min="23" max="23" width="12.6328125" style="54" bestFit="1" customWidth="1"/>
    <col min="24" max="25" width="3.90625" style="54" customWidth="1"/>
    <col min="26" max="26" width="8.08984375" style="54" hidden="1" customWidth="1"/>
    <col min="27" max="27" width="13.36328125" style="54" hidden="1" customWidth="1"/>
    <col min="28" max="28" width="18.36328125" style="54" hidden="1" customWidth="1"/>
    <col min="29" max="29" width="6.90625" style="54" hidden="1" customWidth="1"/>
    <col min="30" max="30" width="7.453125" style="54" hidden="1" customWidth="1"/>
    <col min="31" max="31" width="12.6328125" style="54" hidden="1" customWidth="1"/>
    <col min="32" max="16384" width="2.6328125" style="54"/>
  </cols>
  <sheetData>
    <row r="1" spans="2:31" ht="17.5" thickBot="1" x14ac:dyDescent="0.45"/>
    <row r="2" spans="2:31" ht="34" thickBot="1" x14ac:dyDescent="0.45">
      <c r="B2" s="177" t="s">
        <v>93</v>
      </c>
      <c r="C2" s="178"/>
      <c r="D2" s="178"/>
      <c r="E2" s="178"/>
      <c r="F2" s="179"/>
      <c r="G2" s="64">
        <f>(SUM(E4:E139)-SUM(F4:F139))/SUM(E4:F139)</f>
        <v>0</v>
      </c>
      <c r="J2" s="177" t="s">
        <v>95</v>
      </c>
      <c r="K2" s="178"/>
      <c r="L2" s="178"/>
      <c r="M2" s="178"/>
      <c r="N2" s="179"/>
      <c r="O2" s="64">
        <f>(SUM(M4:M28)-SUM(N4:N28))/SUM(M4:M28)</f>
        <v>0</v>
      </c>
      <c r="R2" s="177" t="s">
        <v>196</v>
      </c>
      <c r="S2" s="178"/>
      <c r="T2" s="178"/>
      <c r="U2" s="178"/>
      <c r="V2" s="179"/>
      <c r="W2" s="64">
        <f>(SUM(U4:U39)-SUM(V4:V39))/SUM(U4:U39)</f>
        <v>0</v>
      </c>
      <c r="Z2" s="177" t="s">
        <v>197</v>
      </c>
      <c r="AA2" s="178"/>
      <c r="AB2" s="178"/>
      <c r="AC2" s="178"/>
      <c r="AD2" s="179"/>
      <c r="AE2" s="64">
        <f>(SUM(AC4:AC38)-SUM(AD4:AD38))/SUM(AC4:AC38)</f>
        <v>0</v>
      </c>
    </row>
    <row r="3" spans="2:31" ht="41.5" thickBot="1" x14ac:dyDescent="0.45">
      <c r="B3" s="32" t="s">
        <v>81</v>
      </c>
      <c r="C3" s="33" t="s">
        <v>83</v>
      </c>
      <c r="D3" s="33" t="s">
        <v>161</v>
      </c>
      <c r="E3" s="33" t="s">
        <v>162</v>
      </c>
      <c r="F3" s="48" t="s">
        <v>163</v>
      </c>
      <c r="G3" s="49" t="s">
        <v>165</v>
      </c>
      <c r="J3" s="37" t="s">
        <v>198</v>
      </c>
      <c r="K3" s="38" t="s">
        <v>199</v>
      </c>
      <c r="L3" s="38" t="s">
        <v>161</v>
      </c>
      <c r="M3" s="38" t="s">
        <v>200</v>
      </c>
      <c r="N3" s="50" t="s">
        <v>163</v>
      </c>
      <c r="O3" s="51" t="s">
        <v>165</v>
      </c>
      <c r="R3" s="37" t="s">
        <v>201</v>
      </c>
      <c r="S3" s="38" t="s">
        <v>83</v>
      </c>
      <c r="T3" s="38" t="s">
        <v>202</v>
      </c>
      <c r="U3" s="38" t="s">
        <v>162</v>
      </c>
      <c r="V3" s="50" t="s">
        <v>163</v>
      </c>
      <c r="W3" s="51" t="s">
        <v>165</v>
      </c>
      <c r="Z3" s="37" t="s">
        <v>81</v>
      </c>
      <c r="AA3" s="38" t="s">
        <v>83</v>
      </c>
      <c r="AB3" s="38" t="s">
        <v>161</v>
      </c>
      <c r="AC3" s="38" t="s">
        <v>162</v>
      </c>
      <c r="AD3" s="50" t="s">
        <v>203</v>
      </c>
      <c r="AE3" s="51" t="s">
        <v>165</v>
      </c>
    </row>
    <row r="4" spans="2:31" x14ac:dyDescent="0.4">
      <c r="B4" s="180" t="s">
        <v>157</v>
      </c>
      <c r="C4" s="183" t="s">
        <v>109</v>
      </c>
      <c r="D4" s="102" t="s">
        <v>108</v>
      </c>
      <c r="E4" s="102">
        <v>2</v>
      </c>
      <c r="F4" s="55">
        <v>2</v>
      </c>
      <c r="G4" s="186">
        <f>(SUM(E4:E7)-SUM(F4:F7))/SUM(E4:E7)</f>
        <v>0</v>
      </c>
      <c r="J4" s="180" t="s">
        <v>164</v>
      </c>
      <c r="K4" s="189" t="s">
        <v>204</v>
      </c>
      <c r="L4" s="102" t="s">
        <v>111</v>
      </c>
      <c r="M4" s="102">
        <v>1</v>
      </c>
      <c r="N4" s="59">
        <v>1</v>
      </c>
      <c r="O4" s="191">
        <f>(SUM(M4:M12)-SUM(N4:N12))/SUM(M4:M12)</f>
        <v>0</v>
      </c>
      <c r="R4" s="180" t="s">
        <v>159</v>
      </c>
      <c r="S4" s="189" t="s">
        <v>204</v>
      </c>
      <c r="T4" s="102" t="s">
        <v>111</v>
      </c>
      <c r="U4" s="102">
        <v>2</v>
      </c>
      <c r="V4" s="59">
        <v>2</v>
      </c>
      <c r="W4" s="191">
        <f>(SUM(U4:U14)-SUM(V4:V14))/SUM(U4:U14)</f>
        <v>0</v>
      </c>
      <c r="Z4" s="198" t="s">
        <v>164</v>
      </c>
      <c r="AA4" s="99">
        <v>2845</v>
      </c>
      <c r="AB4" s="102" t="s">
        <v>205</v>
      </c>
      <c r="AC4" s="102">
        <v>4</v>
      </c>
      <c r="AD4" s="105">
        <v>4</v>
      </c>
      <c r="AE4" s="106">
        <f>(SUM(AC4:AC4)-SUM(AD4:AD4))/SUM(AC4:AC4)</f>
        <v>0</v>
      </c>
    </row>
    <row r="5" spans="2:31" x14ac:dyDescent="0.4">
      <c r="B5" s="181"/>
      <c r="C5" s="184"/>
      <c r="D5" s="97" t="s">
        <v>111</v>
      </c>
      <c r="E5" s="97">
        <v>1</v>
      </c>
      <c r="F5" s="56">
        <v>1</v>
      </c>
      <c r="G5" s="187"/>
      <c r="J5" s="181"/>
      <c r="K5" s="190"/>
      <c r="L5" s="97" t="s">
        <v>116</v>
      </c>
      <c r="M5" s="97">
        <v>1</v>
      </c>
      <c r="N5" s="60">
        <v>1</v>
      </c>
      <c r="O5" s="192"/>
      <c r="R5" s="181"/>
      <c r="S5" s="190"/>
      <c r="T5" s="97" t="s">
        <v>122</v>
      </c>
      <c r="U5" s="97">
        <v>2</v>
      </c>
      <c r="V5" s="60">
        <v>2</v>
      </c>
      <c r="W5" s="192"/>
      <c r="Z5" s="199"/>
      <c r="AA5" s="100">
        <v>2880</v>
      </c>
      <c r="AB5" s="97" t="s">
        <v>206</v>
      </c>
      <c r="AC5" s="97">
        <v>8</v>
      </c>
      <c r="AD5" s="107">
        <v>8</v>
      </c>
      <c r="AE5" s="108">
        <f>(SUM(AC5:AC5)-SUM(AD5:AD5))/SUM(AC5:AC5)</f>
        <v>0</v>
      </c>
    </row>
    <row r="6" spans="2:31" x14ac:dyDescent="0.4">
      <c r="B6" s="181"/>
      <c r="C6" s="184"/>
      <c r="D6" s="97" t="s">
        <v>114</v>
      </c>
      <c r="E6" s="97">
        <v>1</v>
      </c>
      <c r="F6" s="56">
        <v>1</v>
      </c>
      <c r="G6" s="187"/>
      <c r="J6" s="181"/>
      <c r="K6" s="190"/>
      <c r="L6" s="97" t="s">
        <v>119</v>
      </c>
      <c r="M6" s="97">
        <v>1</v>
      </c>
      <c r="N6" s="60">
        <v>1</v>
      </c>
      <c r="O6" s="192"/>
      <c r="R6" s="181"/>
      <c r="S6" s="190"/>
      <c r="T6" s="97" t="s">
        <v>113</v>
      </c>
      <c r="U6" s="97">
        <v>2</v>
      </c>
      <c r="V6" s="60">
        <v>2</v>
      </c>
      <c r="W6" s="192"/>
      <c r="Z6" s="199"/>
      <c r="AA6" s="97">
        <v>2900</v>
      </c>
      <c r="AB6" s="97" t="s">
        <v>207</v>
      </c>
      <c r="AC6" s="97">
        <v>18</v>
      </c>
      <c r="AD6" s="107">
        <v>18</v>
      </c>
      <c r="AE6" s="108">
        <f>(SUM(AC6:AC6)-SUM(AD6:AD6))/SUM(AC6:AC6)</f>
        <v>0</v>
      </c>
    </row>
    <row r="7" spans="2:31" ht="17.5" thickBot="1" x14ac:dyDescent="0.45">
      <c r="B7" s="182"/>
      <c r="C7" s="185"/>
      <c r="D7" s="98" t="s">
        <v>117</v>
      </c>
      <c r="E7" s="98">
        <v>2</v>
      </c>
      <c r="F7" s="57">
        <v>2</v>
      </c>
      <c r="G7" s="188"/>
      <c r="J7" s="181"/>
      <c r="K7" s="190"/>
      <c r="L7" s="97" t="s">
        <v>120</v>
      </c>
      <c r="M7" s="97">
        <v>1</v>
      </c>
      <c r="N7" s="60">
        <v>1</v>
      </c>
      <c r="O7" s="192"/>
      <c r="R7" s="181"/>
      <c r="S7" s="190"/>
      <c r="T7" s="97" t="s">
        <v>116</v>
      </c>
      <c r="U7" s="97">
        <v>2</v>
      </c>
      <c r="V7" s="60">
        <v>2</v>
      </c>
      <c r="W7" s="192"/>
      <c r="Z7" s="199"/>
      <c r="AA7" s="190">
        <v>3190</v>
      </c>
      <c r="AB7" s="97" t="s">
        <v>205</v>
      </c>
      <c r="AC7" s="97">
        <v>10</v>
      </c>
      <c r="AD7" s="107">
        <v>10</v>
      </c>
      <c r="AE7" s="197">
        <f>(SUM(AC7:AC8)-SUM(AD7:AD8))/SUM(AC7:AC8)</f>
        <v>0</v>
      </c>
    </row>
    <row r="8" spans="2:31" x14ac:dyDescent="0.4">
      <c r="B8" s="180" t="s">
        <v>158</v>
      </c>
      <c r="C8" s="183" t="s">
        <v>109</v>
      </c>
      <c r="D8" s="102" t="s">
        <v>108</v>
      </c>
      <c r="E8" s="102">
        <v>2</v>
      </c>
      <c r="F8" s="55">
        <v>2</v>
      </c>
      <c r="G8" s="186">
        <f>(SUM(E8:E11)-SUM(F8:F11))/SUM(E8:E11)</f>
        <v>0</v>
      </c>
      <c r="J8" s="181"/>
      <c r="K8" s="190"/>
      <c r="L8" s="97" t="s">
        <v>121</v>
      </c>
      <c r="M8" s="97">
        <v>1</v>
      </c>
      <c r="N8" s="60">
        <v>1</v>
      </c>
      <c r="O8" s="192"/>
      <c r="R8" s="181"/>
      <c r="S8" s="190"/>
      <c r="T8" s="97" t="s">
        <v>125</v>
      </c>
      <c r="U8" s="97">
        <v>2</v>
      </c>
      <c r="V8" s="60">
        <v>2</v>
      </c>
      <c r="W8" s="192"/>
      <c r="Z8" s="199"/>
      <c r="AA8" s="190"/>
      <c r="AB8" s="97" t="s">
        <v>24</v>
      </c>
      <c r="AC8" s="97">
        <v>6</v>
      </c>
      <c r="AD8" s="107">
        <v>6</v>
      </c>
      <c r="AE8" s="197"/>
    </row>
    <row r="9" spans="2:31" x14ac:dyDescent="0.4">
      <c r="B9" s="181"/>
      <c r="C9" s="184"/>
      <c r="D9" s="97" t="s">
        <v>111</v>
      </c>
      <c r="E9" s="97">
        <v>1</v>
      </c>
      <c r="F9" s="56">
        <v>1</v>
      </c>
      <c r="G9" s="187"/>
      <c r="J9" s="181"/>
      <c r="K9" s="190"/>
      <c r="L9" s="97" t="s">
        <v>122</v>
      </c>
      <c r="M9" s="97">
        <v>1</v>
      </c>
      <c r="N9" s="60">
        <v>1</v>
      </c>
      <c r="O9" s="192"/>
      <c r="R9" s="181"/>
      <c r="S9" s="190"/>
      <c r="T9" s="97" t="s">
        <v>127</v>
      </c>
      <c r="U9" s="97">
        <v>2</v>
      </c>
      <c r="V9" s="60">
        <v>2</v>
      </c>
      <c r="W9" s="192"/>
      <c r="Z9" s="199"/>
      <c r="AA9" s="190">
        <v>3450</v>
      </c>
      <c r="AB9" s="97" t="s">
        <v>208</v>
      </c>
      <c r="AC9" s="97">
        <v>4</v>
      </c>
      <c r="AD9" s="107">
        <v>4</v>
      </c>
      <c r="AE9" s="197">
        <f>(SUM(AC9:AC10)-SUM(AD9:AD10))/SUM(AC9:AC10)</f>
        <v>0</v>
      </c>
    </row>
    <row r="10" spans="2:31" ht="31" x14ac:dyDescent="0.4">
      <c r="B10" s="181"/>
      <c r="C10" s="184"/>
      <c r="D10" s="97" t="s">
        <v>114</v>
      </c>
      <c r="E10" s="97">
        <v>1</v>
      </c>
      <c r="F10" s="56">
        <v>1</v>
      </c>
      <c r="G10" s="187"/>
      <c r="J10" s="181"/>
      <c r="K10" s="190"/>
      <c r="L10" s="97" t="s">
        <v>128</v>
      </c>
      <c r="M10" s="97">
        <v>1</v>
      </c>
      <c r="N10" s="60">
        <v>1</v>
      </c>
      <c r="O10" s="192"/>
      <c r="R10" s="181"/>
      <c r="S10" s="190"/>
      <c r="T10" s="97" t="s">
        <v>130</v>
      </c>
      <c r="U10" s="97">
        <v>2</v>
      </c>
      <c r="V10" s="60">
        <v>2</v>
      </c>
      <c r="W10" s="192"/>
      <c r="Z10" s="199"/>
      <c r="AA10" s="190"/>
      <c r="AB10" s="97" t="s">
        <v>205</v>
      </c>
      <c r="AC10" s="97">
        <v>4</v>
      </c>
      <c r="AD10" s="107">
        <v>4</v>
      </c>
      <c r="AE10" s="197"/>
    </row>
    <row r="11" spans="2:31" ht="17.5" thickBot="1" x14ac:dyDescent="0.45">
      <c r="B11" s="193"/>
      <c r="C11" s="194"/>
      <c r="D11" s="103" t="s">
        <v>117</v>
      </c>
      <c r="E11" s="103">
        <v>2</v>
      </c>
      <c r="F11" s="58">
        <v>2</v>
      </c>
      <c r="G11" s="195"/>
      <c r="J11" s="181"/>
      <c r="K11" s="190"/>
      <c r="L11" s="97" t="s">
        <v>131</v>
      </c>
      <c r="M11" s="97">
        <v>1</v>
      </c>
      <c r="N11" s="60">
        <v>1</v>
      </c>
      <c r="O11" s="192"/>
      <c r="R11" s="181"/>
      <c r="S11" s="190"/>
      <c r="T11" s="97" t="s">
        <v>133</v>
      </c>
      <c r="U11" s="97">
        <v>2</v>
      </c>
      <c r="V11" s="60">
        <v>2</v>
      </c>
      <c r="W11" s="192"/>
      <c r="Z11" s="199"/>
      <c r="AA11" s="190">
        <v>3670</v>
      </c>
      <c r="AB11" s="97" t="s">
        <v>209</v>
      </c>
      <c r="AC11" s="97">
        <v>6</v>
      </c>
      <c r="AD11" s="107">
        <v>6</v>
      </c>
      <c r="AE11" s="197">
        <f>(SUM(AC11:AC13)-SUM(AD11:AD13))/SUM(AC11:AC13)</f>
        <v>0</v>
      </c>
    </row>
    <row r="12" spans="2:31" x14ac:dyDescent="0.4">
      <c r="B12" s="180" t="s">
        <v>159</v>
      </c>
      <c r="C12" s="183" t="s">
        <v>109</v>
      </c>
      <c r="D12" s="102" t="s">
        <v>117</v>
      </c>
      <c r="E12" s="102">
        <v>2</v>
      </c>
      <c r="F12" s="59">
        <v>2</v>
      </c>
      <c r="G12" s="191">
        <f>(SUM(E12:E16)-SUM(F12:F16))/SUM(E12:E16)</f>
        <v>0</v>
      </c>
      <c r="J12" s="181"/>
      <c r="K12" s="190"/>
      <c r="L12" s="97" t="s">
        <v>134</v>
      </c>
      <c r="M12" s="97">
        <v>1</v>
      </c>
      <c r="N12" s="60">
        <v>1</v>
      </c>
      <c r="O12" s="192"/>
      <c r="R12" s="181"/>
      <c r="S12" s="190"/>
      <c r="T12" s="97" t="s">
        <v>135</v>
      </c>
      <c r="U12" s="97">
        <v>2</v>
      </c>
      <c r="V12" s="60">
        <v>2</v>
      </c>
      <c r="W12" s="192"/>
      <c r="Z12" s="199"/>
      <c r="AA12" s="190"/>
      <c r="AB12" s="97" t="s">
        <v>208</v>
      </c>
      <c r="AC12" s="97">
        <v>2</v>
      </c>
      <c r="AD12" s="107">
        <v>2</v>
      </c>
      <c r="AE12" s="197"/>
    </row>
    <row r="13" spans="2:31" x14ac:dyDescent="0.4">
      <c r="B13" s="181"/>
      <c r="C13" s="184"/>
      <c r="D13" s="97" t="s">
        <v>108</v>
      </c>
      <c r="E13" s="97">
        <v>2</v>
      </c>
      <c r="F13" s="60">
        <v>2</v>
      </c>
      <c r="G13" s="192"/>
      <c r="J13" s="181"/>
      <c r="K13" s="184">
        <v>3390</v>
      </c>
      <c r="L13" s="97" t="s">
        <v>111</v>
      </c>
      <c r="M13" s="97">
        <v>2</v>
      </c>
      <c r="N13" s="60">
        <v>2</v>
      </c>
      <c r="O13" s="192">
        <f>(SUM(M13:M17)-SUM(N13:N17))/SUM(M13:M17)</f>
        <v>0</v>
      </c>
      <c r="R13" s="181"/>
      <c r="S13" s="190"/>
      <c r="T13" s="97" t="s">
        <v>136</v>
      </c>
      <c r="U13" s="97">
        <v>2</v>
      </c>
      <c r="V13" s="60">
        <v>2</v>
      </c>
      <c r="W13" s="192"/>
      <c r="Z13" s="199"/>
      <c r="AA13" s="190"/>
      <c r="AB13" s="97" t="s">
        <v>44</v>
      </c>
      <c r="AC13" s="97">
        <v>2</v>
      </c>
      <c r="AD13" s="107">
        <v>2</v>
      </c>
      <c r="AE13" s="197"/>
    </row>
    <row r="14" spans="2:31" x14ac:dyDescent="0.4">
      <c r="B14" s="181"/>
      <c r="C14" s="184"/>
      <c r="D14" s="97" t="s">
        <v>111</v>
      </c>
      <c r="E14" s="97">
        <v>2</v>
      </c>
      <c r="F14" s="60">
        <v>2</v>
      </c>
      <c r="G14" s="192"/>
      <c r="J14" s="181"/>
      <c r="K14" s="184"/>
      <c r="L14" s="97" t="s">
        <v>166</v>
      </c>
      <c r="M14" s="97">
        <v>5</v>
      </c>
      <c r="N14" s="60">
        <v>5</v>
      </c>
      <c r="O14" s="192"/>
      <c r="R14" s="181"/>
      <c r="S14" s="190"/>
      <c r="T14" s="97" t="s">
        <v>137</v>
      </c>
      <c r="U14" s="97">
        <v>2</v>
      </c>
      <c r="V14" s="60">
        <v>2</v>
      </c>
      <c r="W14" s="192"/>
      <c r="Z14" s="199"/>
      <c r="AA14" s="190">
        <v>3800</v>
      </c>
      <c r="AB14" s="97" t="s">
        <v>208</v>
      </c>
      <c r="AC14" s="97">
        <v>4</v>
      </c>
      <c r="AD14" s="107">
        <v>4</v>
      </c>
      <c r="AE14" s="197">
        <f>(SUM(AC14:AC16)-SUM(AD14:AD16))/SUM(AC14:AC16)</f>
        <v>0</v>
      </c>
    </row>
    <row r="15" spans="2:31" x14ac:dyDescent="0.4">
      <c r="B15" s="181"/>
      <c r="C15" s="184"/>
      <c r="D15" s="97" t="s">
        <v>129</v>
      </c>
      <c r="E15" s="97">
        <v>2</v>
      </c>
      <c r="F15" s="60">
        <v>2</v>
      </c>
      <c r="G15" s="192"/>
      <c r="J15" s="181"/>
      <c r="K15" s="184"/>
      <c r="L15" s="97" t="s">
        <v>138</v>
      </c>
      <c r="M15" s="97">
        <v>1</v>
      </c>
      <c r="N15" s="60">
        <v>1</v>
      </c>
      <c r="O15" s="192"/>
      <c r="R15" s="181"/>
      <c r="S15" s="190">
        <v>3390</v>
      </c>
      <c r="T15" s="97" t="s">
        <v>110</v>
      </c>
      <c r="U15" s="97">
        <v>3</v>
      </c>
      <c r="V15" s="60">
        <v>3</v>
      </c>
      <c r="W15" s="192">
        <f>(SUM(U15:U18)-SUM(V15:V18))/SUM(U15:U18)</f>
        <v>0</v>
      </c>
      <c r="Z15" s="199"/>
      <c r="AA15" s="190"/>
      <c r="AB15" s="97" t="s">
        <v>210</v>
      </c>
      <c r="AC15" s="97">
        <v>11</v>
      </c>
      <c r="AD15" s="107">
        <v>11</v>
      </c>
      <c r="AE15" s="197"/>
    </row>
    <row r="16" spans="2:31" x14ac:dyDescent="0.4">
      <c r="B16" s="181"/>
      <c r="C16" s="184"/>
      <c r="D16" s="97" t="s">
        <v>132</v>
      </c>
      <c r="E16" s="97">
        <v>2</v>
      </c>
      <c r="F16" s="60">
        <v>2</v>
      </c>
      <c r="G16" s="192"/>
      <c r="J16" s="181"/>
      <c r="K16" s="184"/>
      <c r="L16" s="97" t="s">
        <v>110</v>
      </c>
      <c r="M16" s="97">
        <v>4</v>
      </c>
      <c r="N16" s="60">
        <v>4</v>
      </c>
      <c r="O16" s="192"/>
      <c r="R16" s="181"/>
      <c r="S16" s="190"/>
      <c r="T16" s="97" t="s">
        <v>138</v>
      </c>
      <c r="U16" s="97">
        <v>3</v>
      </c>
      <c r="V16" s="60">
        <v>3</v>
      </c>
      <c r="W16" s="192"/>
      <c r="Z16" s="199"/>
      <c r="AA16" s="190"/>
      <c r="AB16" s="97" t="s">
        <v>211</v>
      </c>
      <c r="AC16" s="97">
        <v>11</v>
      </c>
      <c r="AD16" s="107">
        <v>11</v>
      </c>
      <c r="AE16" s="197"/>
    </row>
    <row r="17" spans="2:31" x14ac:dyDescent="0.4">
      <c r="B17" s="181"/>
      <c r="C17" s="184" t="s">
        <v>171</v>
      </c>
      <c r="D17" s="97" t="s">
        <v>110</v>
      </c>
      <c r="E17" s="97">
        <v>2</v>
      </c>
      <c r="F17" s="60">
        <v>2</v>
      </c>
      <c r="G17" s="192">
        <f>(SUM(E17:E25)-SUM(F17:F25))/SUM(E17:E25)</f>
        <v>0</v>
      </c>
      <c r="J17" s="181"/>
      <c r="K17" s="184"/>
      <c r="L17" s="97" t="s">
        <v>122</v>
      </c>
      <c r="M17" s="97">
        <v>1</v>
      </c>
      <c r="N17" s="60">
        <v>1</v>
      </c>
      <c r="O17" s="192"/>
      <c r="R17" s="181"/>
      <c r="S17" s="190"/>
      <c r="T17" s="97" t="s">
        <v>212</v>
      </c>
      <c r="U17" s="97">
        <v>2</v>
      </c>
      <c r="V17" s="60">
        <v>2</v>
      </c>
      <c r="W17" s="192"/>
      <c r="Z17" s="199"/>
      <c r="AA17" s="190" t="s">
        <v>213</v>
      </c>
      <c r="AB17" s="97" t="s">
        <v>111</v>
      </c>
      <c r="AC17" s="97">
        <v>2</v>
      </c>
      <c r="AD17" s="107">
        <v>2</v>
      </c>
      <c r="AE17" s="197">
        <f>(SUM(AC17:AC22)-SUM(AD17:AD22))/SUM(AC17:AC22)</f>
        <v>0</v>
      </c>
    </row>
    <row r="18" spans="2:31" x14ac:dyDescent="0.4">
      <c r="B18" s="181"/>
      <c r="C18" s="184"/>
      <c r="D18" s="97" t="s">
        <v>111</v>
      </c>
      <c r="E18" s="97">
        <v>2</v>
      </c>
      <c r="F18" s="60">
        <v>2</v>
      </c>
      <c r="G18" s="192"/>
      <c r="J18" s="181"/>
      <c r="K18" s="190">
        <v>3190</v>
      </c>
      <c r="L18" s="97" t="s">
        <v>111</v>
      </c>
      <c r="M18" s="97">
        <v>2</v>
      </c>
      <c r="N18" s="60">
        <v>2</v>
      </c>
      <c r="O18" s="192">
        <f>(SUM(M18:M22)-SUM(N18:N22))/SUM(M18:M22)</f>
        <v>0</v>
      </c>
      <c r="R18" s="181"/>
      <c r="S18" s="190"/>
      <c r="T18" s="97" t="s">
        <v>122</v>
      </c>
      <c r="U18" s="97">
        <v>2</v>
      </c>
      <c r="V18" s="60">
        <v>2</v>
      </c>
      <c r="W18" s="192"/>
      <c r="Z18" s="199"/>
      <c r="AA18" s="190"/>
      <c r="AB18" s="97" t="s">
        <v>122</v>
      </c>
      <c r="AC18" s="97">
        <v>2</v>
      </c>
      <c r="AD18" s="107">
        <v>2</v>
      </c>
      <c r="AE18" s="197"/>
    </row>
    <row r="19" spans="2:31" x14ac:dyDescent="0.4">
      <c r="B19" s="181"/>
      <c r="C19" s="184"/>
      <c r="D19" s="97" t="s">
        <v>119</v>
      </c>
      <c r="E19" s="97">
        <v>4</v>
      </c>
      <c r="F19" s="60">
        <v>4</v>
      </c>
      <c r="G19" s="192"/>
      <c r="J19" s="181"/>
      <c r="K19" s="190"/>
      <c r="L19" s="97" t="s">
        <v>113</v>
      </c>
      <c r="M19" s="97">
        <v>4</v>
      </c>
      <c r="N19" s="60">
        <v>4</v>
      </c>
      <c r="O19" s="192"/>
      <c r="R19" s="181"/>
      <c r="S19" s="184" t="s">
        <v>167</v>
      </c>
      <c r="T19" s="97" t="s">
        <v>110</v>
      </c>
      <c r="U19" s="97">
        <v>2</v>
      </c>
      <c r="V19" s="60">
        <v>2</v>
      </c>
      <c r="W19" s="192">
        <f>(SUM(U19:U20)-SUM(V19:V20))/SUM(U19:U20)</f>
        <v>0</v>
      </c>
      <c r="Z19" s="199"/>
      <c r="AA19" s="190"/>
      <c r="AB19" s="97" t="s">
        <v>113</v>
      </c>
      <c r="AC19" s="97">
        <v>2</v>
      </c>
      <c r="AD19" s="107">
        <v>2</v>
      </c>
      <c r="AE19" s="197"/>
    </row>
    <row r="20" spans="2:31" x14ac:dyDescent="0.4">
      <c r="B20" s="181"/>
      <c r="C20" s="184"/>
      <c r="D20" s="97" t="s">
        <v>116</v>
      </c>
      <c r="E20" s="97">
        <v>2</v>
      </c>
      <c r="F20" s="60">
        <v>2</v>
      </c>
      <c r="G20" s="192"/>
      <c r="J20" s="181"/>
      <c r="K20" s="190"/>
      <c r="L20" s="97" t="s">
        <v>116</v>
      </c>
      <c r="M20" s="97">
        <v>4</v>
      </c>
      <c r="N20" s="60">
        <v>4</v>
      </c>
      <c r="O20" s="192"/>
      <c r="R20" s="181"/>
      <c r="S20" s="184"/>
      <c r="T20" s="97" t="s">
        <v>142</v>
      </c>
      <c r="U20" s="97">
        <v>2</v>
      </c>
      <c r="V20" s="60">
        <v>2</v>
      </c>
      <c r="W20" s="192"/>
      <c r="Z20" s="199"/>
      <c r="AA20" s="190"/>
      <c r="AB20" s="97" t="s">
        <v>116</v>
      </c>
      <c r="AC20" s="97">
        <v>2</v>
      </c>
      <c r="AD20" s="107">
        <v>2</v>
      </c>
      <c r="AE20" s="197"/>
    </row>
    <row r="21" spans="2:31" x14ac:dyDescent="0.4">
      <c r="B21" s="181"/>
      <c r="C21" s="184"/>
      <c r="D21" s="97" t="s">
        <v>121</v>
      </c>
      <c r="E21" s="97">
        <v>4</v>
      </c>
      <c r="F21" s="60">
        <v>4</v>
      </c>
      <c r="G21" s="192"/>
      <c r="J21" s="181"/>
      <c r="K21" s="190"/>
      <c r="L21" s="97" t="s">
        <v>122</v>
      </c>
      <c r="M21" s="97">
        <v>1</v>
      </c>
      <c r="N21" s="60">
        <v>1</v>
      </c>
      <c r="O21" s="192"/>
      <c r="R21" s="181"/>
      <c r="S21" s="190">
        <v>3400</v>
      </c>
      <c r="T21" s="97" t="s">
        <v>110</v>
      </c>
      <c r="U21" s="97">
        <v>13</v>
      </c>
      <c r="V21" s="60">
        <v>13</v>
      </c>
      <c r="W21" s="192">
        <f>(SUM(U21:U23)-SUM(V21:V23))/SUM(U21:U23)</f>
        <v>0</v>
      </c>
      <c r="Z21" s="199"/>
      <c r="AA21" s="190"/>
      <c r="AB21" s="97" t="s">
        <v>125</v>
      </c>
      <c r="AC21" s="97">
        <v>2</v>
      </c>
      <c r="AD21" s="107">
        <v>2</v>
      </c>
      <c r="AE21" s="197"/>
    </row>
    <row r="22" spans="2:31" ht="17.5" thickBot="1" x14ac:dyDescent="0.45">
      <c r="B22" s="181"/>
      <c r="C22" s="184"/>
      <c r="D22" s="97" t="s">
        <v>122</v>
      </c>
      <c r="E22" s="97">
        <v>2</v>
      </c>
      <c r="F22" s="60">
        <v>2</v>
      </c>
      <c r="G22" s="192"/>
      <c r="J22" s="182"/>
      <c r="K22" s="207"/>
      <c r="L22" s="52" t="s">
        <v>140</v>
      </c>
      <c r="M22" s="101">
        <v>0</v>
      </c>
      <c r="N22" s="62">
        <v>0</v>
      </c>
      <c r="O22" s="204"/>
      <c r="R22" s="181"/>
      <c r="S22" s="190"/>
      <c r="T22" s="97" t="s">
        <v>144</v>
      </c>
      <c r="U22" s="97">
        <v>52</v>
      </c>
      <c r="V22" s="60">
        <v>52</v>
      </c>
      <c r="W22" s="192"/>
      <c r="Z22" s="199"/>
      <c r="AA22" s="190"/>
      <c r="AB22" s="97" t="s">
        <v>127</v>
      </c>
      <c r="AC22" s="97">
        <v>2</v>
      </c>
      <c r="AD22" s="107">
        <v>2</v>
      </c>
      <c r="AE22" s="197"/>
    </row>
    <row r="23" spans="2:31" x14ac:dyDescent="0.4">
      <c r="B23" s="181"/>
      <c r="C23" s="184"/>
      <c r="D23" s="97" t="s">
        <v>133</v>
      </c>
      <c r="E23" s="97">
        <v>2</v>
      </c>
      <c r="F23" s="60">
        <v>2</v>
      </c>
      <c r="G23" s="192"/>
      <c r="J23" s="210" t="s">
        <v>214</v>
      </c>
      <c r="K23" s="196">
        <v>3600</v>
      </c>
      <c r="L23" s="53" t="s">
        <v>169</v>
      </c>
      <c r="M23" s="96">
        <v>12</v>
      </c>
      <c r="N23" s="63">
        <v>12</v>
      </c>
      <c r="O23" s="191">
        <f>(SUM(M23:M24)-SUM(N23:N24))/SUM(M23:M24)</f>
        <v>0</v>
      </c>
      <c r="R23" s="181"/>
      <c r="S23" s="190"/>
      <c r="T23" s="47" t="s">
        <v>140</v>
      </c>
      <c r="U23" s="97">
        <v>0</v>
      </c>
      <c r="V23" s="60">
        <v>0</v>
      </c>
      <c r="W23" s="192"/>
      <c r="Z23" s="199"/>
      <c r="AA23" s="184">
        <v>4507</v>
      </c>
      <c r="AB23" s="97" t="s">
        <v>113</v>
      </c>
      <c r="AC23" s="97">
        <v>2</v>
      </c>
      <c r="AD23" s="107">
        <v>2</v>
      </c>
      <c r="AE23" s="200">
        <f>(SUM(AC23:AC26)-SUM(AD23:AD26))/SUM(AC23:AC26)</f>
        <v>0</v>
      </c>
    </row>
    <row r="24" spans="2:31" x14ac:dyDescent="0.4">
      <c r="B24" s="181"/>
      <c r="C24" s="184"/>
      <c r="D24" s="97" t="s">
        <v>136</v>
      </c>
      <c r="E24" s="97">
        <v>2</v>
      </c>
      <c r="F24" s="60">
        <v>2</v>
      </c>
      <c r="G24" s="192"/>
      <c r="J24" s="181"/>
      <c r="K24" s="190"/>
      <c r="L24" s="97" t="s">
        <v>110</v>
      </c>
      <c r="M24" s="97">
        <v>12</v>
      </c>
      <c r="N24" s="60">
        <v>12</v>
      </c>
      <c r="O24" s="192"/>
      <c r="R24" s="181"/>
      <c r="S24" s="190">
        <v>3410</v>
      </c>
      <c r="T24" s="97" t="s">
        <v>116</v>
      </c>
      <c r="U24" s="97">
        <v>1</v>
      </c>
      <c r="V24" s="60">
        <v>1</v>
      </c>
      <c r="W24" s="192">
        <f>(SUM(U24:U25)-SUM(V24:V25))/SUM(U24:U25)</f>
        <v>0</v>
      </c>
      <c r="Z24" s="199"/>
      <c r="AA24" s="184"/>
      <c r="AB24" s="97" t="s">
        <v>215</v>
      </c>
      <c r="AC24" s="97">
        <v>4</v>
      </c>
      <c r="AD24" s="107">
        <v>4</v>
      </c>
      <c r="AE24" s="201"/>
    </row>
    <row r="25" spans="2:31" ht="17.5" thickBot="1" x14ac:dyDescent="0.45">
      <c r="B25" s="181"/>
      <c r="C25" s="184"/>
      <c r="D25" s="97" t="s">
        <v>139</v>
      </c>
      <c r="E25" s="97">
        <v>1</v>
      </c>
      <c r="F25" s="60">
        <v>1</v>
      </c>
      <c r="G25" s="192"/>
      <c r="J25" s="181"/>
      <c r="K25" s="184" t="s">
        <v>156</v>
      </c>
      <c r="L25" s="97" t="s">
        <v>111</v>
      </c>
      <c r="M25" s="97">
        <v>2</v>
      </c>
      <c r="N25" s="60">
        <v>2</v>
      </c>
      <c r="O25" s="192">
        <f>(SUM(M25:M28)-SUM(N25:N28))/SUM(M25:M28)</f>
        <v>0</v>
      </c>
      <c r="R25" s="193"/>
      <c r="S25" s="203"/>
      <c r="T25" s="103" t="s">
        <v>142</v>
      </c>
      <c r="U25" s="103">
        <v>1</v>
      </c>
      <c r="V25" s="61">
        <v>1</v>
      </c>
      <c r="W25" s="204"/>
      <c r="Z25" s="199"/>
      <c r="AA25" s="184"/>
      <c r="AB25" s="97" t="s">
        <v>31</v>
      </c>
      <c r="AC25" s="97">
        <v>4</v>
      </c>
      <c r="AD25" s="107">
        <v>4</v>
      </c>
      <c r="AE25" s="201"/>
    </row>
    <row r="26" spans="2:31" ht="17.5" thickBot="1" x14ac:dyDescent="0.45">
      <c r="B26" s="181"/>
      <c r="C26" s="184">
        <v>3390</v>
      </c>
      <c r="D26" s="97" t="s">
        <v>111</v>
      </c>
      <c r="E26" s="97">
        <v>2</v>
      </c>
      <c r="F26" s="60">
        <v>2</v>
      </c>
      <c r="G26" s="192">
        <f>(SUM(E26:E29)-SUM(F26:F29))/SUM(E26:E29)</f>
        <v>0</v>
      </c>
      <c r="J26" s="181"/>
      <c r="K26" s="184"/>
      <c r="L26" s="97" t="s">
        <v>116</v>
      </c>
      <c r="M26" s="97">
        <v>2</v>
      </c>
      <c r="N26" s="60">
        <v>2</v>
      </c>
      <c r="O26" s="192"/>
      <c r="R26" s="180" t="s">
        <v>164</v>
      </c>
      <c r="S26" s="189" t="s">
        <v>216</v>
      </c>
      <c r="T26" s="102" t="s">
        <v>111</v>
      </c>
      <c r="U26" s="102">
        <v>1</v>
      </c>
      <c r="V26" s="59">
        <v>1</v>
      </c>
      <c r="W26" s="191">
        <f>(SUM(U26:U34)-SUM(V26:V34))/SUM(U26:U34)</f>
        <v>0</v>
      </c>
      <c r="Z26" s="199"/>
      <c r="AA26" s="194"/>
      <c r="AB26" s="103" t="s">
        <v>217</v>
      </c>
      <c r="AC26" s="103">
        <v>8</v>
      </c>
      <c r="AD26" s="109">
        <v>8</v>
      </c>
      <c r="AE26" s="202"/>
    </row>
    <row r="27" spans="2:31" x14ac:dyDescent="0.4">
      <c r="B27" s="181"/>
      <c r="C27" s="184"/>
      <c r="D27" s="97" t="s">
        <v>122</v>
      </c>
      <c r="E27" s="97">
        <v>2</v>
      </c>
      <c r="F27" s="60">
        <v>2</v>
      </c>
      <c r="G27" s="192"/>
      <c r="J27" s="181"/>
      <c r="K27" s="184"/>
      <c r="L27" s="97" t="s">
        <v>122</v>
      </c>
      <c r="M27" s="97">
        <v>2</v>
      </c>
      <c r="N27" s="60">
        <v>2</v>
      </c>
      <c r="O27" s="192"/>
      <c r="R27" s="181"/>
      <c r="S27" s="190"/>
      <c r="T27" s="97" t="s">
        <v>15</v>
      </c>
      <c r="U27" s="97">
        <v>1</v>
      </c>
      <c r="V27" s="60">
        <v>1</v>
      </c>
      <c r="W27" s="192"/>
      <c r="Z27" s="199"/>
      <c r="AA27" s="203" t="s">
        <v>11</v>
      </c>
      <c r="AB27" s="110" t="s">
        <v>218</v>
      </c>
      <c r="AC27" s="110">
        <v>2</v>
      </c>
      <c r="AD27" s="111">
        <v>2</v>
      </c>
      <c r="AE27" s="205">
        <f>(SUM(AC27:AC28)-SUM(AD27:AD28))/SUM(AC27:AC28)</f>
        <v>0</v>
      </c>
    </row>
    <row r="28" spans="2:31" ht="17.5" thickBot="1" x14ac:dyDescent="0.45">
      <c r="B28" s="181"/>
      <c r="C28" s="184"/>
      <c r="D28" s="97" t="s">
        <v>110</v>
      </c>
      <c r="E28" s="97">
        <v>8</v>
      </c>
      <c r="F28" s="60">
        <v>8</v>
      </c>
      <c r="G28" s="192"/>
      <c r="J28" s="182"/>
      <c r="K28" s="185"/>
      <c r="L28" s="98" t="s">
        <v>113</v>
      </c>
      <c r="M28" s="98">
        <v>4</v>
      </c>
      <c r="N28" s="62">
        <v>4</v>
      </c>
      <c r="O28" s="204"/>
      <c r="R28" s="181"/>
      <c r="S28" s="190"/>
      <c r="T28" s="97" t="s">
        <v>119</v>
      </c>
      <c r="U28" s="97">
        <v>1</v>
      </c>
      <c r="V28" s="60">
        <v>1</v>
      </c>
      <c r="W28" s="192"/>
      <c r="Z28" s="199"/>
      <c r="AA28" s="209"/>
      <c r="AB28" s="112" t="s">
        <v>219</v>
      </c>
      <c r="AC28" s="112">
        <v>2</v>
      </c>
      <c r="AD28" s="113">
        <v>2</v>
      </c>
      <c r="AE28" s="206"/>
    </row>
    <row r="29" spans="2:31" x14ac:dyDescent="0.4">
      <c r="B29" s="181"/>
      <c r="C29" s="184"/>
      <c r="D29" s="97" t="s">
        <v>138</v>
      </c>
      <c r="E29" s="97">
        <v>8</v>
      </c>
      <c r="F29" s="60">
        <v>8</v>
      </c>
      <c r="G29" s="192"/>
      <c r="R29" s="181"/>
      <c r="S29" s="190"/>
      <c r="T29" s="97" t="s">
        <v>120</v>
      </c>
      <c r="U29" s="97">
        <v>1</v>
      </c>
      <c r="V29" s="60">
        <v>1</v>
      </c>
      <c r="W29" s="192"/>
      <c r="Z29" s="180" t="s">
        <v>168</v>
      </c>
      <c r="AA29" s="189">
        <v>3910</v>
      </c>
      <c r="AB29" s="102" t="s">
        <v>113</v>
      </c>
      <c r="AC29" s="102">
        <v>2</v>
      </c>
      <c r="AD29" s="105">
        <v>2</v>
      </c>
      <c r="AE29" s="208">
        <f>(SUM(AC29:AC31)-SUM(AD29:AD31))/SUM(AC29:AC31)</f>
        <v>0</v>
      </c>
    </row>
    <row r="30" spans="2:31" x14ac:dyDescent="0.4">
      <c r="B30" s="181"/>
      <c r="C30" s="184" t="s">
        <v>141</v>
      </c>
      <c r="D30" s="97" t="s">
        <v>110</v>
      </c>
      <c r="E30" s="97">
        <v>2</v>
      </c>
      <c r="F30" s="60">
        <v>2</v>
      </c>
      <c r="G30" s="192">
        <f>(SUM(E30:E31)-SUM(F30:F31))/SUM(E30:E31)</f>
        <v>0</v>
      </c>
      <c r="R30" s="181"/>
      <c r="S30" s="190"/>
      <c r="T30" s="97" t="s">
        <v>121</v>
      </c>
      <c r="U30" s="97">
        <v>1</v>
      </c>
      <c r="V30" s="60">
        <v>1</v>
      </c>
      <c r="W30" s="192"/>
      <c r="Z30" s="181"/>
      <c r="AA30" s="190"/>
      <c r="AB30" s="97" t="s">
        <v>215</v>
      </c>
      <c r="AC30" s="97">
        <v>10</v>
      </c>
      <c r="AD30" s="107">
        <v>10</v>
      </c>
      <c r="AE30" s="197"/>
    </row>
    <row r="31" spans="2:31" x14ac:dyDescent="0.4">
      <c r="B31" s="181"/>
      <c r="C31" s="184"/>
      <c r="D31" s="97" t="s">
        <v>142</v>
      </c>
      <c r="E31" s="97">
        <v>2</v>
      </c>
      <c r="F31" s="60">
        <v>2</v>
      </c>
      <c r="G31" s="192"/>
      <c r="R31" s="181"/>
      <c r="S31" s="190"/>
      <c r="T31" s="97" t="s">
        <v>122</v>
      </c>
      <c r="U31" s="97">
        <v>1</v>
      </c>
      <c r="V31" s="60">
        <v>1</v>
      </c>
      <c r="W31" s="192"/>
      <c r="Z31" s="181"/>
      <c r="AA31" s="190"/>
      <c r="AB31" s="97" t="s">
        <v>220</v>
      </c>
      <c r="AC31" s="97">
        <v>10</v>
      </c>
      <c r="AD31" s="107">
        <v>10</v>
      </c>
      <c r="AE31" s="197"/>
    </row>
    <row r="32" spans="2:31" x14ac:dyDescent="0.4">
      <c r="B32" s="181"/>
      <c r="C32" s="184">
        <v>3400</v>
      </c>
      <c r="D32" s="97" t="s">
        <v>110</v>
      </c>
      <c r="E32" s="97">
        <v>13</v>
      </c>
      <c r="F32" s="60">
        <v>13</v>
      </c>
      <c r="G32" s="192">
        <f>(SUM(E32:E34)-SUM(F32:F34))/SUM(E32:E34)</f>
        <v>0</v>
      </c>
      <c r="R32" s="181"/>
      <c r="S32" s="190"/>
      <c r="T32" s="97" t="s">
        <v>128</v>
      </c>
      <c r="U32" s="97">
        <v>1</v>
      </c>
      <c r="V32" s="60">
        <v>1</v>
      </c>
      <c r="W32" s="192"/>
      <c r="Z32" s="181"/>
      <c r="AA32" s="184">
        <v>4600</v>
      </c>
      <c r="AB32" s="97" t="s">
        <v>110</v>
      </c>
      <c r="AC32" s="97">
        <v>8</v>
      </c>
      <c r="AD32" s="107">
        <v>8</v>
      </c>
      <c r="AE32" s="197">
        <f>(SUM(AC32:AC36)-SUM(AD32:AD36))/SUM(AC32:AC36)</f>
        <v>0</v>
      </c>
    </row>
    <row r="33" spans="2:31" ht="31" x14ac:dyDescent="0.4">
      <c r="B33" s="181"/>
      <c r="C33" s="184"/>
      <c r="D33" s="97" t="s">
        <v>144</v>
      </c>
      <c r="E33" s="97">
        <v>41</v>
      </c>
      <c r="F33" s="60">
        <v>41</v>
      </c>
      <c r="G33" s="192"/>
      <c r="R33" s="181"/>
      <c r="S33" s="190"/>
      <c r="T33" s="97" t="s">
        <v>131</v>
      </c>
      <c r="U33" s="97">
        <v>1</v>
      </c>
      <c r="V33" s="60">
        <v>1</v>
      </c>
      <c r="W33" s="192"/>
      <c r="Z33" s="181"/>
      <c r="AA33" s="184"/>
      <c r="AB33" s="97" t="s">
        <v>112</v>
      </c>
      <c r="AC33" s="97">
        <v>8</v>
      </c>
      <c r="AD33" s="107">
        <v>8</v>
      </c>
      <c r="AE33" s="197"/>
    </row>
    <row r="34" spans="2:31" ht="31" x14ac:dyDescent="0.4">
      <c r="B34" s="181"/>
      <c r="C34" s="184"/>
      <c r="D34" s="47" t="s">
        <v>140</v>
      </c>
      <c r="E34" s="97">
        <v>0</v>
      </c>
      <c r="F34" s="60">
        <v>0</v>
      </c>
      <c r="G34" s="192"/>
      <c r="R34" s="181"/>
      <c r="S34" s="190"/>
      <c r="T34" s="97" t="s">
        <v>134</v>
      </c>
      <c r="U34" s="97">
        <v>2</v>
      </c>
      <c r="V34" s="60">
        <v>2</v>
      </c>
      <c r="W34" s="192"/>
      <c r="Z34" s="181"/>
      <c r="AA34" s="184"/>
      <c r="AB34" s="97" t="s">
        <v>31</v>
      </c>
      <c r="AC34" s="97">
        <v>8</v>
      </c>
      <c r="AD34" s="107">
        <v>8</v>
      </c>
      <c r="AE34" s="197"/>
    </row>
    <row r="35" spans="2:31" x14ac:dyDescent="0.4">
      <c r="B35" s="181"/>
      <c r="C35" s="184" t="s">
        <v>146</v>
      </c>
      <c r="D35" s="97" t="s">
        <v>110</v>
      </c>
      <c r="E35" s="97">
        <v>1</v>
      </c>
      <c r="F35" s="60">
        <v>1</v>
      </c>
      <c r="G35" s="192">
        <f>(SUM(E35:E37)-SUM(F35:F37))/SUM(E35:E37)</f>
        <v>0</v>
      </c>
      <c r="R35" s="181"/>
      <c r="S35" s="184">
        <v>3390</v>
      </c>
      <c r="T35" s="97" t="s">
        <v>111</v>
      </c>
      <c r="U35" s="97">
        <v>1</v>
      </c>
      <c r="V35" s="60">
        <v>1</v>
      </c>
      <c r="W35" s="192">
        <f>(SUM(U4:U39)-SUM(V35:V39))/SUM(U4:U39)</f>
        <v>0.91129032258064513</v>
      </c>
      <c r="Z35" s="181"/>
      <c r="AA35" s="184"/>
      <c r="AB35" s="97" t="s">
        <v>118</v>
      </c>
      <c r="AC35" s="97">
        <v>8</v>
      </c>
      <c r="AD35" s="107">
        <v>8</v>
      </c>
      <c r="AE35" s="197"/>
    </row>
    <row r="36" spans="2:31" x14ac:dyDescent="0.4">
      <c r="B36" s="181"/>
      <c r="C36" s="184"/>
      <c r="D36" s="97" t="s">
        <v>142</v>
      </c>
      <c r="E36" s="97">
        <v>1</v>
      </c>
      <c r="F36" s="60">
        <v>1</v>
      </c>
      <c r="G36" s="192"/>
      <c r="R36" s="181"/>
      <c r="S36" s="184"/>
      <c r="T36" s="97" t="s">
        <v>120</v>
      </c>
      <c r="U36" s="97">
        <v>1</v>
      </c>
      <c r="V36" s="60">
        <v>1</v>
      </c>
      <c r="W36" s="192"/>
      <c r="Z36" s="181"/>
      <c r="AA36" s="184"/>
      <c r="AB36" s="97" t="s">
        <v>116</v>
      </c>
      <c r="AC36" s="97">
        <v>8</v>
      </c>
      <c r="AD36" s="107">
        <v>8</v>
      </c>
      <c r="AE36" s="197"/>
    </row>
    <row r="37" spans="2:31" ht="17.5" thickBot="1" x14ac:dyDescent="0.45">
      <c r="B37" s="181"/>
      <c r="C37" s="184"/>
      <c r="D37" s="97" t="s">
        <v>144</v>
      </c>
      <c r="E37" s="97">
        <v>1</v>
      </c>
      <c r="F37" s="60">
        <v>1</v>
      </c>
      <c r="G37" s="192"/>
      <c r="R37" s="181"/>
      <c r="S37" s="184"/>
      <c r="T37" s="97" t="s">
        <v>138</v>
      </c>
      <c r="U37" s="97">
        <v>5</v>
      </c>
      <c r="V37" s="60">
        <v>5</v>
      </c>
      <c r="W37" s="192"/>
      <c r="Z37" s="182"/>
      <c r="AA37" s="101">
        <v>5100</v>
      </c>
      <c r="AB37" s="101" t="s">
        <v>221</v>
      </c>
      <c r="AC37" s="98">
        <v>5</v>
      </c>
      <c r="AD37" s="114">
        <v>5</v>
      </c>
      <c r="AE37" s="115">
        <f>(SUM(AC37)-SUM(AD37))/SUM(AC37)</f>
        <v>0</v>
      </c>
    </row>
    <row r="38" spans="2:31" x14ac:dyDescent="0.4">
      <c r="B38" s="181"/>
      <c r="C38" s="184">
        <v>3410</v>
      </c>
      <c r="D38" s="97" t="s">
        <v>110</v>
      </c>
      <c r="E38" s="97">
        <v>2</v>
      </c>
      <c r="F38" s="60">
        <v>2</v>
      </c>
      <c r="G38" s="192">
        <f>(SUM(E38:E39)-SUM(F38:F39))/SUM(E38:E39)</f>
        <v>0</v>
      </c>
      <c r="R38" s="181"/>
      <c r="S38" s="184"/>
      <c r="T38" s="97" t="s">
        <v>110</v>
      </c>
      <c r="U38" s="97">
        <v>3</v>
      </c>
      <c r="V38" s="60">
        <v>3</v>
      </c>
      <c r="W38" s="192"/>
    </row>
    <row r="39" spans="2:31" ht="17.5" thickBot="1" x14ac:dyDescent="0.45">
      <c r="B39" s="193"/>
      <c r="C39" s="194"/>
      <c r="D39" s="103" t="s">
        <v>24</v>
      </c>
      <c r="E39" s="103">
        <v>2</v>
      </c>
      <c r="F39" s="61">
        <v>2</v>
      </c>
      <c r="G39" s="211"/>
      <c r="R39" s="182"/>
      <c r="S39" s="185"/>
      <c r="T39" s="98" t="s">
        <v>122</v>
      </c>
      <c r="U39" s="98">
        <v>1</v>
      </c>
      <c r="V39" s="62">
        <v>1</v>
      </c>
      <c r="W39" s="204"/>
    </row>
    <row r="40" spans="2:31" x14ac:dyDescent="0.4">
      <c r="B40" s="180" t="s">
        <v>160</v>
      </c>
      <c r="C40" s="212" t="s">
        <v>222</v>
      </c>
      <c r="D40" s="102" t="s">
        <v>110</v>
      </c>
      <c r="E40" s="102">
        <v>12</v>
      </c>
      <c r="F40" s="59">
        <v>12</v>
      </c>
      <c r="G40" s="215">
        <f>(SUM(E40:E44)-SUM(F40:F44))/SUM(E40:E44)</f>
        <v>0</v>
      </c>
    </row>
    <row r="41" spans="2:31" x14ac:dyDescent="0.4">
      <c r="B41" s="181"/>
      <c r="C41" s="213"/>
      <c r="D41" s="97" t="s">
        <v>112</v>
      </c>
      <c r="E41" s="97">
        <v>12</v>
      </c>
      <c r="F41" s="60">
        <v>12</v>
      </c>
      <c r="G41" s="216"/>
    </row>
    <row r="42" spans="2:31" x14ac:dyDescent="0.4">
      <c r="B42" s="181"/>
      <c r="C42" s="213"/>
      <c r="D42" s="97" t="s">
        <v>31</v>
      </c>
      <c r="E42" s="97">
        <v>12</v>
      </c>
      <c r="F42" s="60">
        <v>12</v>
      </c>
      <c r="G42" s="216"/>
    </row>
    <row r="43" spans="2:31" x14ac:dyDescent="0.4">
      <c r="B43" s="181"/>
      <c r="C43" s="213"/>
      <c r="D43" s="97" t="s">
        <v>118</v>
      </c>
      <c r="E43" s="97">
        <v>6</v>
      </c>
      <c r="F43" s="60">
        <v>6</v>
      </c>
      <c r="G43" s="216"/>
    </row>
    <row r="44" spans="2:31" x14ac:dyDescent="0.4">
      <c r="B44" s="181"/>
      <c r="C44" s="214"/>
      <c r="D44" s="97" t="s">
        <v>116</v>
      </c>
      <c r="E44" s="97">
        <v>6</v>
      </c>
      <c r="F44" s="60">
        <v>6</v>
      </c>
      <c r="G44" s="217"/>
    </row>
    <row r="45" spans="2:31" x14ac:dyDescent="0.4">
      <c r="B45" s="181"/>
      <c r="C45" s="184" t="s">
        <v>172</v>
      </c>
      <c r="D45" s="97" t="s">
        <v>111</v>
      </c>
      <c r="E45" s="97">
        <v>2</v>
      </c>
      <c r="F45" s="60">
        <v>2</v>
      </c>
      <c r="G45" s="192">
        <f>(SUM(E45:E56)-SUM(F45:F56))/SUM(E45:E56)</f>
        <v>0</v>
      </c>
    </row>
    <row r="46" spans="2:31" x14ac:dyDescent="0.4">
      <c r="B46" s="181"/>
      <c r="C46" s="184"/>
      <c r="D46" s="97" t="s">
        <v>122</v>
      </c>
      <c r="E46" s="97">
        <v>1</v>
      </c>
      <c r="F46" s="60">
        <v>1</v>
      </c>
      <c r="G46" s="192"/>
    </row>
    <row r="47" spans="2:31" x14ac:dyDescent="0.4">
      <c r="B47" s="181"/>
      <c r="C47" s="184"/>
      <c r="D47" s="97" t="s">
        <v>113</v>
      </c>
      <c r="E47" s="97">
        <v>1</v>
      </c>
      <c r="F47" s="60">
        <v>1</v>
      </c>
      <c r="G47" s="192"/>
    </row>
    <row r="48" spans="2:31" x14ac:dyDescent="0.4">
      <c r="B48" s="181"/>
      <c r="C48" s="184"/>
      <c r="D48" s="97" t="s">
        <v>116</v>
      </c>
      <c r="E48" s="97">
        <v>2</v>
      </c>
      <c r="F48" s="60">
        <v>2</v>
      </c>
      <c r="G48" s="192"/>
    </row>
    <row r="49" spans="2:31" x14ac:dyDescent="0.4">
      <c r="B49" s="181"/>
      <c r="C49" s="184"/>
      <c r="D49" s="97" t="s">
        <v>125</v>
      </c>
      <c r="E49" s="97">
        <v>2</v>
      </c>
      <c r="F49" s="60">
        <v>2</v>
      </c>
      <c r="G49" s="192"/>
    </row>
    <row r="50" spans="2:31" x14ac:dyDescent="0.4">
      <c r="B50" s="181"/>
      <c r="C50" s="184"/>
      <c r="D50" s="97" t="s">
        <v>127</v>
      </c>
      <c r="E50" s="97">
        <v>2</v>
      </c>
      <c r="F50" s="60">
        <v>2</v>
      </c>
      <c r="G50" s="192"/>
    </row>
    <row r="51" spans="2:31" x14ac:dyDescent="0.4">
      <c r="B51" s="181"/>
      <c r="C51" s="184"/>
      <c r="D51" s="97" t="s">
        <v>130</v>
      </c>
      <c r="E51" s="97">
        <v>1</v>
      </c>
      <c r="F51" s="60">
        <v>1</v>
      </c>
      <c r="G51" s="192"/>
    </row>
    <row r="52" spans="2:31" x14ac:dyDescent="0.4">
      <c r="B52" s="181"/>
      <c r="C52" s="184"/>
      <c r="D52" s="97" t="s">
        <v>133</v>
      </c>
      <c r="E52" s="97">
        <v>2</v>
      </c>
      <c r="F52" s="60">
        <v>2</v>
      </c>
      <c r="G52" s="192"/>
    </row>
    <row r="53" spans="2:31" x14ac:dyDescent="0.4">
      <c r="B53" s="181"/>
      <c r="C53" s="184"/>
      <c r="D53" s="97" t="s">
        <v>135</v>
      </c>
      <c r="E53" s="97">
        <v>2</v>
      </c>
      <c r="F53" s="60">
        <v>2</v>
      </c>
      <c r="G53" s="192"/>
    </row>
    <row r="54" spans="2:31" x14ac:dyDescent="0.4">
      <c r="B54" s="181"/>
      <c r="C54" s="184"/>
      <c r="D54" s="97" t="s">
        <v>136</v>
      </c>
      <c r="E54" s="97">
        <v>2</v>
      </c>
      <c r="F54" s="60">
        <v>2</v>
      </c>
      <c r="G54" s="192"/>
    </row>
    <row r="55" spans="2:31" x14ac:dyDescent="0.4">
      <c r="B55" s="181"/>
      <c r="C55" s="184"/>
      <c r="D55" s="97" t="s">
        <v>137</v>
      </c>
      <c r="E55" s="97">
        <v>2</v>
      </c>
      <c r="F55" s="60">
        <v>2</v>
      </c>
      <c r="G55" s="192"/>
    </row>
    <row r="56" spans="2:31" x14ac:dyDescent="0.4">
      <c r="B56" s="181"/>
      <c r="C56" s="184"/>
      <c r="D56" s="97" t="s">
        <v>124</v>
      </c>
      <c r="E56" s="97">
        <v>1</v>
      </c>
      <c r="F56" s="60">
        <v>1</v>
      </c>
      <c r="G56" s="192"/>
    </row>
    <row r="57" spans="2:31" x14ac:dyDescent="0.4">
      <c r="B57" s="181"/>
      <c r="C57" s="184">
        <v>3670</v>
      </c>
      <c r="D57" s="97" t="s">
        <v>110</v>
      </c>
      <c r="E57" s="97">
        <v>3</v>
      </c>
      <c r="F57" s="60">
        <v>3</v>
      </c>
      <c r="G57" s="192">
        <f>(SUM(E57:E60)-SUM(F57:F60))/SUM(E57:E60)</f>
        <v>0</v>
      </c>
    </row>
    <row r="58" spans="2:31" x14ac:dyDescent="0.4">
      <c r="B58" s="181"/>
      <c r="C58" s="184"/>
      <c r="D58" s="97" t="s">
        <v>138</v>
      </c>
      <c r="E58" s="97">
        <v>4</v>
      </c>
      <c r="F58" s="60">
        <v>4</v>
      </c>
      <c r="G58" s="192"/>
    </row>
    <row r="59" spans="2:31" x14ac:dyDescent="0.4">
      <c r="B59" s="181"/>
      <c r="C59" s="184"/>
      <c r="D59" s="97" t="s">
        <v>120</v>
      </c>
      <c r="E59" s="97">
        <v>1</v>
      </c>
      <c r="F59" s="60">
        <v>1</v>
      </c>
      <c r="G59" s="192"/>
    </row>
    <row r="60" spans="2:31" ht="17.5" thickBot="1" x14ac:dyDescent="0.45">
      <c r="B60" s="193"/>
      <c r="C60" s="194"/>
      <c r="D60" s="103" t="s">
        <v>122</v>
      </c>
      <c r="E60" s="103">
        <v>1</v>
      </c>
      <c r="F60" s="61">
        <v>1</v>
      </c>
      <c r="G60" s="211"/>
    </row>
    <row r="61" spans="2:31" x14ac:dyDescent="0.4">
      <c r="B61" s="180" t="s">
        <v>223</v>
      </c>
      <c r="C61" s="183" t="s">
        <v>172</v>
      </c>
      <c r="D61" s="102" t="s">
        <v>111</v>
      </c>
      <c r="E61" s="102">
        <v>1</v>
      </c>
      <c r="F61" s="59">
        <v>1</v>
      </c>
      <c r="G61" s="191">
        <f>(SUM(E61:E73)-SUM(F61:F73))/SUM(E61:E73)</f>
        <v>0</v>
      </c>
    </row>
    <row r="62" spans="2:31" ht="17.5" thickBot="1" x14ac:dyDescent="0.45">
      <c r="B62" s="181"/>
      <c r="C62" s="184"/>
      <c r="D62" s="97" t="s">
        <v>113</v>
      </c>
      <c r="E62" s="97">
        <v>1</v>
      </c>
      <c r="F62" s="60">
        <v>1</v>
      </c>
      <c r="G62" s="192"/>
    </row>
    <row r="63" spans="2:31" x14ac:dyDescent="0.4">
      <c r="B63" s="181"/>
      <c r="C63" s="184"/>
      <c r="D63" s="97" t="s">
        <v>116</v>
      </c>
      <c r="E63" s="97">
        <v>2</v>
      </c>
      <c r="F63" s="60">
        <v>2</v>
      </c>
      <c r="G63" s="192"/>
      <c r="Z63" s="180"/>
      <c r="AA63" s="189"/>
      <c r="AB63" s="102"/>
      <c r="AC63" s="102"/>
      <c r="AD63" s="105"/>
      <c r="AE63" s="208"/>
    </row>
    <row r="64" spans="2:31" x14ac:dyDescent="0.4">
      <c r="B64" s="181"/>
      <c r="C64" s="184"/>
      <c r="D64" s="97" t="s">
        <v>119</v>
      </c>
      <c r="E64" s="97">
        <v>2</v>
      </c>
      <c r="F64" s="60">
        <v>2</v>
      </c>
      <c r="G64" s="192"/>
      <c r="Z64" s="181"/>
      <c r="AA64" s="190"/>
      <c r="AB64" s="97"/>
      <c r="AC64" s="97"/>
      <c r="AD64" s="107"/>
      <c r="AE64" s="197"/>
    </row>
    <row r="65" spans="2:31" x14ac:dyDescent="0.4">
      <c r="B65" s="181"/>
      <c r="C65" s="184"/>
      <c r="D65" s="97" t="s">
        <v>120</v>
      </c>
      <c r="E65" s="97">
        <v>2</v>
      </c>
      <c r="F65" s="60">
        <v>2</v>
      </c>
      <c r="G65" s="192"/>
      <c r="Z65" s="181"/>
      <c r="AA65" s="190"/>
      <c r="AB65" s="97"/>
      <c r="AC65" s="97"/>
      <c r="AD65" s="107"/>
      <c r="AE65" s="197"/>
    </row>
    <row r="66" spans="2:31" x14ac:dyDescent="0.4">
      <c r="B66" s="181"/>
      <c r="C66" s="184"/>
      <c r="D66" s="97" t="s">
        <v>121</v>
      </c>
      <c r="E66" s="97">
        <v>2</v>
      </c>
      <c r="F66" s="60">
        <v>2</v>
      </c>
      <c r="G66" s="192"/>
      <c r="Z66" s="181"/>
      <c r="AA66" s="184"/>
      <c r="AB66" s="97"/>
      <c r="AC66" s="97"/>
      <c r="AD66" s="107"/>
      <c r="AE66" s="197"/>
    </row>
    <row r="67" spans="2:31" x14ac:dyDescent="0.4">
      <c r="B67" s="181"/>
      <c r="C67" s="184"/>
      <c r="D67" s="97" t="s">
        <v>118</v>
      </c>
      <c r="E67" s="97">
        <v>1</v>
      </c>
      <c r="F67" s="60">
        <v>1</v>
      </c>
      <c r="G67" s="192"/>
      <c r="Z67" s="181"/>
      <c r="AA67" s="184"/>
      <c r="AB67" s="97"/>
      <c r="AC67" s="97"/>
      <c r="AD67" s="107"/>
      <c r="AE67" s="197"/>
    </row>
    <row r="68" spans="2:31" x14ac:dyDescent="0.4">
      <c r="B68" s="181"/>
      <c r="C68" s="184"/>
      <c r="D68" s="97" t="s">
        <v>123</v>
      </c>
      <c r="E68" s="97">
        <v>2</v>
      </c>
      <c r="F68" s="60">
        <v>2</v>
      </c>
      <c r="G68" s="192"/>
      <c r="Z68" s="181"/>
      <c r="AA68" s="184"/>
      <c r="AB68" s="97"/>
      <c r="AC68" s="97"/>
      <c r="AD68" s="107"/>
      <c r="AE68" s="197"/>
    </row>
    <row r="69" spans="2:31" x14ac:dyDescent="0.4">
      <c r="B69" s="181"/>
      <c r="C69" s="184"/>
      <c r="D69" s="97" t="s">
        <v>124</v>
      </c>
      <c r="E69" s="97">
        <v>2</v>
      </c>
      <c r="F69" s="60">
        <v>2</v>
      </c>
      <c r="G69" s="192"/>
      <c r="Z69" s="181"/>
      <c r="AA69" s="184"/>
      <c r="AB69" s="97"/>
      <c r="AC69" s="97"/>
      <c r="AD69" s="107"/>
      <c r="AE69" s="197"/>
    </row>
    <row r="70" spans="2:31" x14ac:dyDescent="0.4">
      <c r="B70" s="181"/>
      <c r="C70" s="184"/>
      <c r="D70" s="97" t="s">
        <v>126</v>
      </c>
      <c r="E70" s="97">
        <v>2</v>
      </c>
      <c r="F70" s="60">
        <v>2</v>
      </c>
      <c r="G70" s="192"/>
      <c r="Z70" s="181"/>
      <c r="AA70" s="184"/>
      <c r="AB70" s="97"/>
      <c r="AC70" s="97"/>
      <c r="AD70" s="107"/>
      <c r="AE70" s="197"/>
    </row>
    <row r="71" spans="2:31" ht="17.5" thickBot="1" x14ac:dyDescent="0.45">
      <c r="B71" s="181"/>
      <c r="C71" s="184"/>
      <c r="D71" s="97" t="s">
        <v>128</v>
      </c>
      <c r="E71" s="97">
        <v>1</v>
      </c>
      <c r="F71" s="60">
        <v>1</v>
      </c>
      <c r="G71" s="192"/>
      <c r="Z71" s="182"/>
      <c r="AA71" s="101"/>
      <c r="AB71" s="101"/>
      <c r="AC71" s="98"/>
      <c r="AD71" s="114"/>
      <c r="AE71" s="115"/>
    </row>
    <row r="72" spans="2:31" x14ac:dyDescent="0.4">
      <c r="B72" s="181"/>
      <c r="C72" s="184"/>
      <c r="D72" s="97" t="s">
        <v>131</v>
      </c>
      <c r="E72" s="97">
        <v>2</v>
      </c>
      <c r="F72" s="60">
        <v>2</v>
      </c>
      <c r="G72" s="192"/>
    </row>
    <row r="73" spans="2:31" x14ac:dyDescent="0.4">
      <c r="B73" s="181"/>
      <c r="C73" s="184"/>
      <c r="D73" s="97" t="s">
        <v>134</v>
      </c>
      <c r="E73" s="97">
        <v>2</v>
      </c>
      <c r="F73" s="60">
        <v>2</v>
      </c>
      <c r="G73" s="192"/>
    </row>
    <row r="74" spans="2:31" x14ac:dyDescent="0.4">
      <c r="B74" s="181"/>
      <c r="C74" s="184">
        <v>3670</v>
      </c>
      <c r="D74" s="97" t="s">
        <v>111</v>
      </c>
      <c r="E74" s="97">
        <v>2</v>
      </c>
      <c r="F74" s="60">
        <v>2</v>
      </c>
      <c r="G74" s="192">
        <f>(SUM(E74:E78)-SUM(F74:F78))/SUM(E74:E78)</f>
        <v>0</v>
      </c>
    </row>
    <row r="75" spans="2:31" x14ac:dyDescent="0.4">
      <c r="B75" s="181"/>
      <c r="C75" s="184"/>
      <c r="D75" s="97" t="s">
        <v>120</v>
      </c>
      <c r="E75" s="97">
        <v>2</v>
      </c>
      <c r="F75" s="60">
        <v>2</v>
      </c>
      <c r="G75" s="192"/>
    </row>
    <row r="76" spans="2:31" x14ac:dyDescent="0.4">
      <c r="B76" s="181"/>
      <c r="C76" s="184"/>
      <c r="D76" s="97" t="s">
        <v>138</v>
      </c>
      <c r="E76" s="97">
        <v>10</v>
      </c>
      <c r="F76" s="60">
        <v>10</v>
      </c>
      <c r="G76" s="192"/>
    </row>
    <row r="77" spans="2:31" x14ac:dyDescent="0.4">
      <c r="B77" s="181"/>
      <c r="C77" s="184"/>
      <c r="D77" s="97" t="s">
        <v>110</v>
      </c>
      <c r="E77" s="97">
        <v>10</v>
      </c>
      <c r="F77" s="60">
        <v>10</v>
      </c>
      <c r="G77" s="192"/>
    </row>
    <row r="78" spans="2:31" x14ac:dyDescent="0.4">
      <c r="B78" s="181"/>
      <c r="C78" s="184"/>
      <c r="D78" s="97" t="s">
        <v>122</v>
      </c>
      <c r="E78" s="97">
        <v>2</v>
      </c>
      <c r="F78" s="60">
        <v>2</v>
      </c>
      <c r="G78" s="192"/>
    </row>
    <row r="79" spans="2:31" x14ac:dyDescent="0.4">
      <c r="B79" s="181"/>
      <c r="C79" s="184">
        <v>3450</v>
      </c>
      <c r="D79" s="97" t="s">
        <v>110</v>
      </c>
      <c r="E79" s="97">
        <v>9</v>
      </c>
      <c r="F79" s="60">
        <v>9</v>
      </c>
      <c r="G79" s="192">
        <f>(SUM(E79:E83)-SUM(F79:F83))/SUM(E79:E83)</f>
        <v>0</v>
      </c>
    </row>
    <row r="80" spans="2:31" x14ac:dyDescent="0.4">
      <c r="B80" s="181"/>
      <c r="C80" s="184"/>
      <c r="D80" s="97" t="s">
        <v>111</v>
      </c>
      <c r="E80" s="97">
        <v>2</v>
      </c>
      <c r="F80" s="60">
        <v>2</v>
      </c>
      <c r="G80" s="192"/>
    </row>
    <row r="81" spans="2:7" x14ac:dyDescent="0.4">
      <c r="B81" s="181"/>
      <c r="C81" s="184"/>
      <c r="D81" s="97" t="s">
        <v>122</v>
      </c>
      <c r="E81" s="97">
        <v>2</v>
      </c>
      <c r="F81" s="60">
        <v>2</v>
      </c>
      <c r="G81" s="192"/>
    </row>
    <row r="82" spans="2:7" x14ac:dyDescent="0.4">
      <c r="B82" s="181"/>
      <c r="C82" s="184"/>
      <c r="D82" s="97" t="s">
        <v>113</v>
      </c>
      <c r="E82" s="97">
        <v>2</v>
      </c>
      <c r="F82" s="60">
        <v>2</v>
      </c>
      <c r="G82" s="192"/>
    </row>
    <row r="83" spans="2:7" x14ac:dyDescent="0.4">
      <c r="B83" s="181"/>
      <c r="C83" s="184"/>
      <c r="D83" s="97" t="s">
        <v>120</v>
      </c>
      <c r="E83" s="97">
        <v>2</v>
      </c>
      <c r="F83" s="60">
        <v>2</v>
      </c>
      <c r="G83" s="192"/>
    </row>
    <row r="84" spans="2:7" x14ac:dyDescent="0.4">
      <c r="B84" s="181"/>
      <c r="C84" s="184">
        <v>3800</v>
      </c>
      <c r="D84" s="97" t="s">
        <v>112</v>
      </c>
      <c r="E84" s="97">
        <v>17</v>
      </c>
      <c r="F84" s="60">
        <v>17</v>
      </c>
      <c r="G84" s="192">
        <f>(SUM(E84:E86)-SUM(F84:F86))/SUM(E84:E86)</f>
        <v>0</v>
      </c>
    </row>
    <row r="85" spans="2:7" x14ac:dyDescent="0.4">
      <c r="B85" s="181"/>
      <c r="C85" s="184"/>
      <c r="D85" s="97" t="s">
        <v>115</v>
      </c>
      <c r="E85" s="97">
        <v>17</v>
      </c>
      <c r="F85" s="60">
        <v>17</v>
      </c>
      <c r="G85" s="192"/>
    </row>
    <row r="86" spans="2:7" x14ac:dyDescent="0.4">
      <c r="B86" s="181"/>
      <c r="C86" s="184"/>
      <c r="D86" s="47" t="s">
        <v>140</v>
      </c>
      <c r="E86" s="72">
        <v>0</v>
      </c>
      <c r="F86" s="60">
        <v>0</v>
      </c>
      <c r="G86" s="192"/>
    </row>
    <row r="87" spans="2:7" x14ac:dyDescent="0.4">
      <c r="B87" s="181"/>
      <c r="C87" s="184">
        <v>4110</v>
      </c>
      <c r="D87" s="97" t="s">
        <v>110</v>
      </c>
      <c r="E87" s="97">
        <v>1</v>
      </c>
      <c r="F87" s="60">
        <v>1</v>
      </c>
      <c r="G87" s="192">
        <f>(SUM(E87:E97)-SUM(F87:F97))/SUM(E87:E97)</f>
        <v>0</v>
      </c>
    </row>
    <row r="88" spans="2:7" x14ac:dyDescent="0.4">
      <c r="B88" s="181"/>
      <c r="C88" s="184"/>
      <c r="D88" s="97" t="s">
        <v>143</v>
      </c>
      <c r="E88" s="97">
        <v>1</v>
      </c>
      <c r="F88" s="60">
        <v>1</v>
      </c>
      <c r="G88" s="192"/>
    </row>
    <row r="89" spans="2:7" x14ac:dyDescent="0.4">
      <c r="B89" s="181"/>
      <c r="C89" s="184"/>
      <c r="D89" s="97" t="s">
        <v>111</v>
      </c>
      <c r="E89" s="97">
        <v>1</v>
      </c>
      <c r="F89" s="60">
        <v>1</v>
      </c>
      <c r="G89" s="192"/>
    </row>
    <row r="90" spans="2:7" x14ac:dyDescent="0.4">
      <c r="B90" s="181"/>
      <c r="C90" s="184"/>
      <c r="D90" s="97" t="s">
        <v>145</v>
      </c>
      <c r="E90" s="97">
        <v>1</v>
      </c>
      <c r="F90" s="60">
        <v>1</v>
      </c>
      <c r="G90" s="192"/>
    </row>
    <row r="91" spans="2:7" x14ac:dyDescent="0.4">
      <c r="B91" s="181"/>
      <c r="C91" s="184"/>
      <c r="D91" s="97" t="s">
        <v>113</v>
      </c>
      <c r="E91" s="97">
        <v>1</v>
      </c>
      <c r="F91" s="60">
        <v>1</v>
      </c>
      <c r="G91" s="192"/>
    </row>
    <row r="92" spans="2:7" x14ac:dyDescent="0.4">
      <c r="B92" s="181"/>
      <c r="C92" s="184"/>
      <c r="D92" s="97" t="s">
        <v>116</v>
      </c>
      <c r="E92" s="97">
        <v>2</v>
      </c>
      <c r="F92" s="60">
        <v>2</v>
      </c>
      <c r="G92" s="192"/>
    </row>
    <row r="93" spans="2:7" x14ac:dyDescent="0.4">
      <c r="B93" s="181"/>
      <c r="C93" s="184"/>
      <c r="D93" s="97" t="s">
        <v>139</v>
      </c>
      <c r="E93" s="97">
        <v>2</v>
      </c>
      <c r="F93" s="60">
        <v>2</v>
      </c>
      <c r="G93" s="192"/>
    </row>
    <row r="94" spans="2:7" x14ac:dyDescent="0.4">
      <c r="B94" s="181"/>
      <c r="C94" s="184"/>
      <c r="D94" s="97" t="s">
        <v>125</v>
      </c>
      <c r="E94" s="97">
        <v>2</v>
      </c>
      <c r="F94" s="60">
        <v>2</v>
      </c>
      <c r="G94" s="192"/>
    </row>
    <row r="95" spans="2:7" x14ac:dyDescent="0.4">
      <c r="B95" s="181"/>
      <c r="C95" s="184"/>
      <c r="D95" s="97" t="s">
        <v>120</v>
      </c>
      <c r="E95" s="97">
        <v>2</v>
      </c>
      <c r="F95" s="60">
        <v>2</v>
      </c>
      <c r="G95" s="192"/>
    </row>
    <row r="96" spans="2:7" x14ac:dyDescent="0.4">
      <c r="B96" s="181"/>
      <c r="C96" s="184"/>
      <c r="D96" s="97" t="s">
        <v>127</v>
      </c>
      <c r="E96" s="97">
        <v>2</v>
      </c>
      <c r="F96" s="60">
        <v>2</v>
      </c>
      <c r="G96" s="192"/>
    </row>
    <row r="97" spans="2:7" x14ac:dyDescent="0.4">
      <c r="B97" s="181"/>
      <c r="C97" s="184"/>
      <c r="D97" s="97" t="s">
        <v>122</v>
      </c>
      <c r="E97" s="97">
        <v>1</v>
      </c>
      <c r="F97" s="60">
        <v>1</v>
      </c>
      <c r="G97" s="192"/>
    </row>
    <row r="98" spans="2:7" x14ac:dyDescent="0.4">
      <c r="B98" s="181"/>
      <c r="C98" s="184">
        <v>4507</v>
      </c>
      <c r="D98" s="97" t="s">
        <v>111</v>
      </c>
      <c r="E98" s="97">
        <v>2</v>
      </c>
      <c r="F98" s="60">
        <v>2</v>
      </c>
      <c r="G98" s="192">
        <f>(SUM(E98:E110)-SUM(F98:F110))/SUM(E98:E110)</f>
        <v>0</v>
      </c>
    </row>
    <row r="99" spans="2:7" x14ac:dyDescent="0.4">
      <c r="B99" s="181"/>
      <c r="C99" s="184"/>
      <c r="D99" s="97" t="s">
        <v>147</v>
      </c>
      <c r="E99" s="97">
        <v>2</v>
      </c>
      <c r="F99" s="60">
        <v>2</v>
      </c>
      <c r="G99" s="192"/>
    </row>
    <row r="100" spans="2:7" x14ac:dyDescent="0.4">
      <c r="B100" s="181"/>
      <c r="C100" s="184"/>
      <c r="D100" s="97" t="s">
        <v>139</v>
      </c>
      <c r="E100" s="97">
        <v>2</v>
      </c>
      <c r="F100" s="60">
        <v>2</v>
      </c>
      <c r="G100" s="192"/>
    </row>
    <row r="101" spans="2:7" x14ac:dyDescent="0.4">
      <c r="B101" s="181"/>
      <c r="C101" s="184"/>
      <c r="D101" s="97" t="s">
        <v>113</v>
      </c>
      <c r="E101" s="97">
        <v>4</v>
      </c>
      <c r="F101" s="60">
        <v>4</v>
      </c>
      <c r="G101" s="192"/>
    </row>
    <row r="102" spans="2:7" x14ac:dyDescent="0.4">
      <c r="B102" s="181"/>
      <c r="C102" s="184"/>
      <c r="D102" s="97" t="s">
        <v>120</v>
      </c>
      <c r="E102" s="97">
        <v>2</v>
      </c>
      <c r="F102" s="60">
        <v>2</v>
      </c>
      <c r="G102" s="192"/>
    </row>
    <row r="103" spans="2:7" x14ac:dyDescent="0.4">
      <c r="B103" s="181"/>
      <c r="C103" s="184"/>
      <c r="D103" s="97" t="s">
        <v>122</v>
      </c>
      <c r="E103" s="97">
        <v>2</v>
      </c>
      <c r="F103" s="60">
        <v>2</v>
      </c>
      <c r="G103" s="192"/>
    </row>
    <row r="104" spans="2:7" x14ac:dyDescent="0.4">
      <c r="B104" s="181"/>
      <c r="C104" s="184"/>
      <c r="D104" s="97" t="s">
        <v>110</v>
      </c>
      <c r="E104" s="97">
        <v>1</v>
      </c>
      <c r="F104" s="60">
        <v>1</v>
      </c>
      <c r="G104" s="192"/>
    </row>
    <row r="105" spans="2:7" x14ac:dyDescent="0.4">
      <c r="B105" s="181"/>
      <c r="C105" s="184"/>
      <c r="D105" s="97" t="s">
        <v>148</v>
      </c>
      <c r="E105" s="97">
        <v>1</v>
      </c>
      <c r="F105" s="60">
        <v>1</v>
      </c>
      <c r="G105" s="192"/>
    </row>
    <row r="106" spans="2:7" x14ac:dyDescent="0.4">
      <c r="B106" s="181"/>
      <c r="C106" s="184"/>
      <c r="D106" s="97" t="s">
        <v>149</v>
      </c>
      <c r="E106" s="97">
        <v>4</v>
      </c>
      <c r="F106" s="60">
        <v>4</v>
      </c>
      <c r="G106" s="192"/>
    </row>
    <row r="107" spans="2:7" x14ac:dyDescent="0.4">
      <c r="B107" s="181"/>
      <c r="C107" s="184"/>
      <c r="D107" s="97" t="s">
        <v>150</v>
      </c>
      <c r="E107" s="97">
        <v>2</v>
      </c>
      <c r="F107" s="60">
        <v>2</v>
      </c>
      <c r="G107" s="192"/>
    </row>
    <row r="108" spans="2:7" x14ac:dyDescent="0.4">
      <c r="B108" s="181"/>
      <c r="C108" s="184"/>
      <c r="D108" s="97" t="s">
        <v>112</v>
      </c>
      <c r="E108" s="97">
        <v>6</v>
      </c>
      <c r="F108" s="60">
        <v>6</v>
      </c>
      <c r="G108" s="192"/>
    </row>
    <row r="109" spans="2:7" x14ac:dyDescent="0.4">
      <c r="B109" s="181"/>
      <c r="C109" s="184"/>
      <c r="D109" s="97" t="s">
        <v>115</v>
      </c>
      <c r="E109" s="97">
        <v>6</v>
      </c>
      <c r="F109" s="60">
        <v>6</v>
      </c>
      <c r="G109" s="192"/>
    </row>
    <row r="110" spans="2:7" x14ac:dyDescent="0.4">
      <c r="B110" s="181"/>
      <c r="C110" s="184"/>
      <c r="D110" s="97" t="s">
        <v>151</v>
      </c>
      <c r="E110" s="97">
        <v>6</v>
      </c>
      <c r="F110" s="60">
        <v>6</v>
      </c>
      <c r="G110" s="192"/>
    </row>
    <row r="111" spans="2:7" x14ac:dyDescent="0.4">
      <c r="B111" s="181"/>
      <c r="C111" s="184">
        <v>3910</v>
      </c>
      <c r="D111" s="47" t="s">
        <v>140</v>
      </c>
      <c r="E111" s="100">
        <v>0</v>
      </c>
      <c r="F111" s="60">
        <v>0</v>
      </c>
      <c r="G111" s="192">
        <f>(SUM(E111:E123)-SUM(F111:F123))/SUM(E111:E123)</f>
        <v>0</v>
      </c>
    </row>
    <row r="112" spans="2:7" x14ac:dyDescent="0.4">
      <c r="B112" s="181"/>
      <c r="C112" s="184"/>
      <c r="D112" s="97" t="s">
        <v>111</v>
      </c>
      <c r="E112" s="97">
        <v>1</v>
      </c>
      <c r="F112" s="60">
        <v>1</v>
      </c>
      <c r="G112" s="192"/>
    </row>
    <row r="113" spans="2:7" x14ac:dyDescent="0.4">
      <c r="B113" s="181"/>
      <c r="C113" s="184"/>
      <c r="D113" s="97" t="s">
        <v>152</v>
      </c>
      <c r="E113" s="97">
        <v>2</v>
      </c>
      <c r="F113" s="60">
        <v>2</v>
      </c>
      <c r="G113" s="192"/>
    </row>
    <row r="114" spans="2:7" x14ac:dyDescent="0.4">
      <c r="B114" s="181"/>
      <c r="C114" s="184"/>
      <c r="D114" s="97" t="s">
        <v>108</v>
      </c>
      <c r="E114" s="97">
        <v>2</v>
      </c>
      <c r="F114" s="60">
        <v>2</v>
      </c>
      <c r="G114" s="192"/>
    </row>
    <row r="115" spans="2:7" x14ac:dyDescent="0.4">
      <c r="B115" s="181"/>
      <c r="C115" s="184"/>
      <c r="D115" s="97" t="s">
        <v>116</v>
      </c>
      <c r="E115" s="97">
        <v>4</v>
      </c>
      <c r="F115" s="60">
        <v>4</v>
      </c>
      <c r="G115" s="192"/>
    </row>
    <row r="116" spans="2:7" x14ac:dyDescent="0.4">
      <c r="B116" s="181"/>
      <c r="C116" s="184"/>
      <c r="D116" s="97" t="s">
        <v>153</v>
      </c>
      <c r="E116" s="97">
        <v>2</v>
      </c>
      <c r="F116" s="60">
        <v>2</v>
      </c>
      <c r="G116" s="192"/>
    </row>
    <row r="117" spans="2:7" x14ac:dyDescent="0.4">
      <c r="B117" s="181"/>
      <c r="C117" s="184"/>
      <c r="D117" s="97" t="s">
        <v>112</v>
      </c>
      <c r="E117" s="97">
        <v>23</v>
      </c>
      <c r="F117" s="60">
        <v>23</v>
      </c>
      <c r="G117" s="192"/>
    </row>
    <row r="118" spans="2:7" x14ac:dyDescent="0.4">
      <c r="B118" s="181"/>
      <c r="C118" s="184"/>
      <c r="D118" s="97" t="s">
        <v>115</v>
      </c>
      <c r="E118" s="97">
        <v>23</v>
      </c>
      <c r="F118" s="60">
        <v>23</v>
      </c>
      <c r="G118" s="192"/>
    </row>
    <row r="119" spans="2:7" x14ac:dyDescent="0.4">
      <c r="B119" s="181"/>
      <c r="C119" s="184"/>
      <c r="D119" s="97" t="s">
        <v>154</v>
      </c>
      <c r="E119" s="97">
        <v>2</v>
      </c>
      <c r="F119" s="60">
        <v>2</v>
      </c>
      <c r="G119" s="192"/>
    </row>
    <row r="120" spans="2:7" x14ac:dyDescent="0.4">
      <c r="B120" s="181"/>
      <c r="C120" s="184"/>
      <c r="D120" s="97" t="s">
        <v>116</v>
      </c>
      <c r="E120" s="97">
        <v>4</v>
      </c>
      <c r="F120" s="60">
        <v>4</v>
      </c>
      <c r="G120" s="192"/>
    </row>
    <row r="121" spans="2:7" x14ac:dyDescent="0.4">
      <c r="B121" s="181"/>
      <c r="C121" s="184"/>
      <c r="D121" s="97" t="s">
        <v>155</v>
      </c>
      <c r="E121" s="97">
        <v>2</v>
      </c>
      <c r="F121" s="60">
        <v>2</v>
      </c>
      <c r="G121" s="192"/>
    </row>
    <row r="122" spans="2:7" x14ac:dyDescent="0.4">
      <c r="B122" s="181"/>
      <c r="C122" s="184"/>
      <c r="D122" s="97" t="s">
        <v>108</v>
      </c>
      <c r="E122" s="97">
        <v>2</v>
      </c>
      <c r="F122" s="60">
        <v>2</v>
      </c>
      <c r="G122" s="192"/>
    </row>
    <row r="123" spans="2:7" x14ac:dyDescent="0.4">
      <c r="B123" s="181"/>
      <c r="C123" s="184"/>
      <c r="D123" s="97" t="s">
        <v>122</v>
      </c>
      <c r="E123" s="97">
        <v>1</v>
      </c>
      <c r="F123" s="60">
        <v>1</v>
      </c>
      <c r="G123" s="192"/>
    </row>
    <row r="124" spans="2:7" x14ac:dyDescent="0.4">
      <c r="B124" s="181"/>
      <c r="C124" s="184" t="s">
        <v>156</v>
      </c>
      <c r="D124" s="97" t="s">
        <v>224</v>
      </c>
      <c r="E124" s="97">
        <v>2</v>
      </c>
      <c r="F124" s="60">
        <v>2</v>
      </c>
      <c r="G124" s="192">
        <f>(SUM(E124:E127)-SUM(F124:F127))/SUM(E124:E127)</f>
        <v>0</v>
      </c>
    </row>
    <row r="125" spans="2:7" x14ac:dyDescent="0.4">
      <c r="B125" s="181"/>
      <c r="C125" s="184"/>
      <c r="D125" s="97" t="s">
        <v>116</v>
      </c>
      <c r="E125" s="97">
        <v>2</v>
      </c>
      <c r="F125" s="60">
        <v>2</v>
      </c>
      <c r="G125" s="192"/>
    </row>
    <row r="126" spans="2:7" x14ac:dyDescent="0.4">
      <c r="B126" s="181"/>
      <c r="C126" s="184"/>
      <c r="D126" s="97" t="s">
        <v>122</v>
      </c>
      <c r="E126" s="97">
        <v>2</v>
      </c>
      <c r="F126" s="60">
        <v>2</v>
      </c>
      <c r="G126" s="192"/>
    </row>
    <row r="127" spans="2:7" ht="17.5" thickBot="1" x14ac:dyDescent="0.45">
      <c r="B127" s="193"/>
      <c r="C127" s="194"/>
      <c r="D127" s="103" t="s">
        <v>113</v>
      </c>
      <c r="E127" s="103">
        <v>4</v>
      </c>
      <c r="F127" s="61">
        <v>4</v>
      </c>
      <c r="G127" s="211"/>
    </row>
    <row r="128" spans="2:7" x14ac:dyDescent="0.4">
      <c r="B128" s="180" t="s">
        <v>225</v>
      </c>
      <c r="C128" s="189">
        <v>5070</v>
      </c>
      <c r="D128" s="102" t="s">
        <v>2</v>
      </c>
      <c r="E128" s="102">
        <v>2</v>
      </c>
      <c r="F128" s="105">
        <v>2</v>
      </c>
      <c r="G128" s="208">
        <f>(SUM(E128:E133)-SUM(F128:F133))/SUM(E128:E133)</f>
        <v>0</v>
      </c>
    </row>
    <row r="129" spans="2:7" x14ac:dyDescent="0.4">
      <c r="B129" s="181"/>
      <c r="C129" s="190"/>
      <c r="D129" s="97" t="s">
        <v>34</v>
      </c>
      <c r="E129" s="97">
        <v>2</v>
      </c>
      <c r="F129" s="107">
        <v>2</v>
      </c>
      <c r="G129" s="197"/>
    </row>
    <row r="130" spans="2:7" x14ac:dyDescent="0.4">
      <c r="B130" s="181"/>
      <c r="C130" s="190"/>
      <c r="D130" s="97" t="s">
        <v>116</v>
      </c>
      <c r="E130" s="97">
        <v>2</v>
      </c>
      <c r="F130" s="107">
        <v>2</v>
      </c>
      <c r="G130" s="197"/>
    </row>
    <row r="131" spans="2:7" x14ac:dyDescent="0.4">
      <c r="B131" s="181"/>
      <c r="C131" s="190"/>
      <c r="D131" s="97" t="s">
        <v>30</v>
      </c>
      <c r="E131" s="97">
        <v>2</v>
      </c>
      <c r="F131" s="107">
        <v>2</v>
      </c>
      <c r="G131" s="197"/>
    </row>
    <row r="132" spans="2:7" x14ac:dyDescent="0.4">
      <c r="B132" s="181"/>
      <c r="C132" s="190"/>
      <c r="D132" s="97" t="s">
        <v>115</v>
      </c>
      <c r="E132" s="97">
        <v>2</v>
      </c>
      <c r="F132" s="107">
        <v>2</v>
      </c>
      <c r="G132" s="197"/>
    </row>
    <row r="133" spans="2:7" x14ac:dyDescent="0.4">
      <c r="B133" s="181"/>
      <c r="C133" s="190"/>
      <c r="D133" s="97" t="s">
        <v>12</v>
      </c>
      <c r="E133" s="97">
        <v>37</v>
      </c>
      <c r="F133" s="107">
        <v>37</v>
      </c>
      <c r="G133" s="197"/>
    </row>
    <row r="134" spans="2:7" x14ac:dyDescent="0.4">
      <c r="B134" s="181"/>
      <c r="C134" s="184">
        <v>5100</v>
      </c>
      <c r="D134" s="97" t="s">
        <v>12</v>
      </c>
      <c r="E134" s="97">
        <v>30</v>
      </c>
      <c r="F134" s="107">
        <v>30</v>
      </c>
      <c r="G134" s="197">
        <f>(SUM(E134:E140)-SUM(F134:F140))/SUM(E134:E140)</f>
        <v>0</v>
      </c>
    </row>
    <row r="135" spans="2:7" x14ac:dyDescent="0.4">
      <c r="B135" s="181"/>
      <c r="C135" s="184"/>
      <c r="D135" s="97" t="s">
        <v>111</v>
      </c>
      <c r="E135" s="97">
        <v>2</v>
      </c>
      <c r="F135" s="107">
        <v>2</v>
      </c>
      <c r="G135" s="197"/>
    </row>
    <row r="136" spans="2:7" x14ac:dyDescent="0.4">
      <c r="B136" s="181"/>
      <c r="C136" s="184"/>
      <c r="D136" s="97" t="s">
        <v>34</v>
      </c>
      <c r="E136" s="97">
        <v>3</v>
      </c>
      <c r="F136" s="107">
        <v>3</v>
      </c>
      <c r="G136" s="197"/>
    </row>
    <row r="137" spans="2:7" x14ac:dyDescent="0.4">
      <c r="B137" s="181"/>
      <c r="C137" s="184"/>
      <c r="D137" s="97" t="s">
        <v>116</v>
      </c>
      <c r="E137" s="97">
        <v>2</v>
      </c>
      <c r="F137" s="107">
        <v>2</v>
      </c>
      <c r="G137" s="197"/>
    </row>
    <row r="138" spans="2:7" x14ac:dyDescent="0.4">
      <c r="B138" s="181"/>
      <c r="C138" s="184"/>
      <c r="D138" s="97" t="s">
        <v>226</v>
      </c>
      <c r="E138" s="97">
        <v>2</v>
      </c>
      <c r="F138" s="107">
        <v>2</v>
      </c>
      <c r="G138" s="197"/>
    </row>
    <row r="139" spans="2:7" x14ac:dyDescent="0.4">
      <c r="B139" s="181"/>
      <c r="C139" s="184"/>
      <c r="D139" s="97" t="s">
        <v>115</v>
      </c>
      <c r="E139" s="97">
        <v>2</v>
      </c>
      <c r="F139" s="107">
        <v>2</v>
      </c>
      <c r="G139" s="197"/>
    </row>
    <row r="140" spans="2:7" ht="17.5" thickBot="1" x14ac:dyDescent="0.45">
      <c r="B140" s="182"/>
      <c r="C140" s="185"/>
      <c r="D140" s="116" t="s">
        <v>227</v>
      </c>
      <c r="E140" s="101">
        <v>8</v>
      </c>
      <c r="F140" s="114">
        <v>8</v>
      </c>
      <c r="G140" s="218"/>
    </row>
  </sheetData>
  <mergeCells count="107">
    <mergeCell ref="B128:B140"/>
    <mergeCell ref="C128:C133"/>
    <mergeCell ref="G128:G133"/>
    <mergeCell ref="C134:C140"/>
    <mergeCell ref="G134:G140"/>
    <mergeCell ref="C98:C110"/>
    <mergeCell ref="G98:G110"/>
    <mergeCell ref="C111:C123"/>
    <mergeCell ref="G111:G123"/>
    <mergeCell ref="C79:C83"/>
    <mergeCell ref="G79:G83"/>
    <mergeCell ref="C84:C86"/>
    <mergeCell ref="G84:G86"/>
    <mergeCell ref="C87:C97"/>
    <mergeCell ref="G87:G97"/>
    <mergeCell ref="B61:B127"/>
    <mergeCell ref="C61:C73"/>
    <mergeCell ref="G61:G73"/>
    <mergeCell ref="C124:C127"/>
    <mergeCell ref="G124:G127"/>
    <mergeCell ref="Z63:Z71"/>
    <mergeCell ref="AA63:AA65"/>
    <mergeCell ref="AE63:AE65"/>
    <mergeCell ref="AA66:AA70"/>
    <mergeCell ref="AE66:AE70"/>
    <mergeCell ref="C74:C78"/>
    <mergeCell ref="G74:G78"/>
    <mergeCell ref="G38:G39"/>
    <mergeCell ref="B40:B60"/>
    <mergeCell ref="C40:C44"/>
    <mergeCell ref="G40:G44"/>
    <mergeCell ref="C45:C56"/>
    <mergeCell ref="G45:G56"/>
    <mergeCell ref="C57:C60"/>
    <mergeCell ref="G57:G60"/>
    <mergeCell ref="AE14:AE16"/>
    <mergeCell ref="S15:S18"/>
    <mergeCell ref="W15:W18"/>
    <mergeCell ref="AE29:AE31"/>
    <mergeCell ref="C30:C31"/>
    <mergeCell ref="G30:G31"/>
    <mergeCell ref="C32:C34"/>
    <mergeCell ref="G32:G34"/>
    <mergeCell ref="AA32:AA36"/>
    <mergeCell ref="AE32:AE36"/>
    <mergeCell ref="C35:C37"/>
    <mergeCell ref="G35:G37"/>
    <mergeCell ref="S35:S39"/>
    <mergeCell ref="C26:C29"/>
    <mergeCell ref="G26:G29"/>
    <mergeCell ref="R26:R39"/>
    <mergeCell ref="S26:S34"/>
    <mergeCell ref="W26:W34"/>
    <mergeCell ref="AA27:AA28"/>
    <mergeCell ref="Z29:Z37"/>
    <mergeCell ref="AA29:AA31"/>
    <mergeCell ref="W35:W39"/>
    <mergeCell ref="C38:C39"/>
    <mergeCell ref="J23:J28"/>
    <mergeCell ref="AE9:AE10"/>
    <mergeCell ref="AA11:AA13"/>
    <mergeCell ref="AE11:AE13"/>
    <mergeCell ref="B12:B39"/>
    <mergeCell ref="C12:C16"/>
    <mergeCell ref="G12:G16"/>
    <mergeCell ref="R4:R25"/>
    <mergeCell ref="S4:S14"/>
    <mergeCell ref="W4:W14"/>
    <mergeCell ref="Z4:Z28"/>
    <mergeCell ref="AA7:AA8"/>
    <mergeCell ref="AE7:AE8"/>
    <mergeCell ref="AE23:AE26"/>
    <mergeCell ref="S24:S25"/>
    <mergeCell ref="W24:W25"/>
    <mergeCell ref="K25:K28"/>
    <mergeCell ref="O25:O28"/>
    <mergeCell ref="AE27:AE28"/>
    <mergeCell ref="C17:C25"/>
    <mergeCell ref="G17:G25"/>
    <mergeCell ref="AA17:AA22"/>
    <mergeCell ref="AE17:AE22"/>
    <mergeCell ref="K18:K22"/>
    <mergeCell ref="O18:O22"/>
    <mergeCell ref="B2:F2"/>
    <mergeCell ref="J2:N2"/>
    <mergeCell ref="R2:V2"/>
    <mergeCell ref="Z2:AD2"/>
    <mergeCell ref="B4:B7"/>
    <mergeCell ref="C4:C7"/>
    <mergeCell ref="G4:G7"/>
    <mergeCell ref="J4:J22"/>
    <mergeCell ref="K4:K12"/>
    <mergeCell ref="O4:O12"/>
    <mergeCell ref="B8:B11"/>
    <mergeCell ref="C8:C11"/>
    <mergeCell ref="G8:G11"/>
    <mergeCell ref="AA9:AA10"/>
    <mergeCell ref="S19:S20"/>
    <mergeCell ref="W19:W20"/>
    <mergeCell ref="S21:S23"/>
    <mergeCell ref="W21:W23"/>
    <mergeCell ref="K13:K17"/>
    <mergeCell ref="O13:O17"/>
    <mergeCell ref="AA14:AA16"/>
    <mergeCell ref="K23:K24"/>
    <mergeCell ref="O23:O24"/>
    <mergeCell ref="AA23:AA26"/>
  </mergeCells>
  <phoneticPr fontId="18" type="noConversion"/>
  <conditionalFormatting sqref="AD63:AD71 AD4:AD28 F4:F140">
    <cfRule type="cellIs" dxfId="3" priority="4" operator="notEqual">
      <formula>0</formula>
    </cfRule>
  </conditionalFormatting>
  <conditionalFormatting sqref="N4:N28">
    <cfRule type="cellIs" dxfId="2" priority="3" operator="notEqual">
      <formula>0</formula>
    </cfRule>
  </conditionalFormatting>
  <conditionalFormatting sqref="V4:V39">
    <cfRule type="cellIs" dxfId="1" priority="2" operator="notEqual">
      <formula>0</formula>
    </cfRule>
  </conditionalFormatting>
  <conditionalFormatting sqref="AD29:AD37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horizontalDpi="4294967293" verticalDpi="4294967293" r:id="rId1"/>
  <headerFooter>
    <oddHeader>&amp;RASE Confidential / Security-C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W1:CU6"/>
  <sheetViews>
    <sheetView tabSelected="1" zoomScale="70" zoomScaleNormal="70" workbookViewId="0">
      <pane xSplit="23" ySplit="2" topLeftCell="CC3" activePane="bottomRight" state="frozen"/>
      <selection pane="topRight" activeCell="X1" sqref="X1"/>
      <selection pane="bottomLeft" activeCell="A3" sqref="A3"/>
      <selection pane="bottomRight" activeCell="CI10" sqref="CI10"/>
    </sheetView>
  </sheetViews>
  <sheetFormatPr defaultColWidth="9" defaultRowHeight="17" x14ac:dyDescent="0.4"/>
  <cols>
    <col min="1" max="1" width="4.08984375" style="41" customWidth="1"/>
    <col min="2" max="2" width="5.453125" style="41" bestFit="1" customWidth="1"/>
    <col min="3" max="4" width="6.08984375" style="41" bestFit="1" customWidth="1"/>
    <col min="5" max="17" width="6" style="41" bestFit="1" customWidth="1"/>
    <col min="18" max="19" width="5" style="41" bestFit="1" customWidth="1"/>
    <col min="20" max="20" width="35.90625" style="41" customWidth="1"/>
    <col min="21" max="21" width="2.453125" style="41" customWidth="1"/>
    <col min="22" max="22" width="2.7265625" style="41" customWidth="1"/>
    <col min="23" max="23" width="5.453125" style="41" customWidth="1"/>
    <col min="24" max="25" width="7.6328125" style="41" hidden="1" customWidth="1"/>
    <col min="26" max="26" width="9" style="41" hidden="1" customWidth="1"/>
    <col min="27" max="28" width="7.6328125" style="41" hidden="1" customWidth="1"/>
    <col min="29" max="29" width="7.90625" style="41" hidden="1" customWidth="1"/>
    <col min="30" max="33" width="6.7265625" style="41" hidden="1" customWidth="1"/>
    <col min="34" max="80" width="7.7265625" style="41" hidden="1" customWidth="1"/>
    <col min="81" max="87" width="7.7265625" style="41" customWidth="1"/>
    <col min="88" max="16384" width="9" style="41"/>
  </cols>
  <sheetData>
    <row r="1" spans="23:99" ht="17.5" thickBot="1" x14ac:dyDescent="0.45"/>
    <row r="2" spans="23:99" ht="34.5" thickBot="1" x14ac:dyDescent="0.45">
      <c r="W2" s="45" t="s">
        <v>104</v>
      </c>
      <c r="X2" s="44">
        <v>44851</v>
      </c>
      <c r="Y2" s="42">
        <v>44852</v>
      </c>
      <c r="Z2" s="42">
        <v>44853</v>
      </c>
      <c r="AA2" s="42">
        <v>44854</v>
      </c>
      <c r="AB2" s="42">
        <v>44855</v>
      </c>
      <c r="AC2" s="42">
        <v>44856</v>
      </c>
      <c r="AD2" s="42">
        <v>44857</v>
      </c>
      <c r="AE2" s="42">
        <v>44858</v>
      </c>
      <c r="AF2" s="42">
        <v>44859</v>
      </c>
      <c r="AG2" s="42">
        <v>44860</v>
      </c>
      <c r="AH2" s="42">
        <v>44861</v>
      </c>
      <c r="AI2" s="42">
        <v>44862</v>
      </c>
      <c r="AJ2" s="42">
        <v>44863</v>
      </c>
      <c r="AK2" s="42">
        <v>44864</v>
      </c>
      <c r="AL2" s="42">
        <v>44865</v>
      </c>
      <c r="AM2" s="42">
        <v>44878</v>
      </c>
      <c r="AN2" s="42">
        <v>44879</v>
      </c>
      <c r="AO2" s="42">
        <v>44880</v>
      </c>
      <c r="AP2" s="42">
        <v>44881</v>
      </c>
      <c r="AQ2" s="42">
        <v>44882</v>
      </c>
      <c r="AR2" s="42">
        <v>44883</v>
      </c>
      <c r="AS2" s="42">
        <v>44884</v>
      </c>
      <c r="AT2" s="42">
        <v>44885</v>
      </c>
      <c r="AU2" s="42">
        <v>44886</v>
      </c>
      <c r="AV2" s="42">
        <v>44887</v>
      </c>
      <c r="AW2" s="42">
        <v>44888</v>
      </c>
      <c r="AX2" s="42">
        <v>44889</v>
      </c>
      <c r="AY2" s="42">
        <v>44890</v>
      </c>
      <c r="AZ2" s="42">
        <v>44891</v>
      </c>
      <c r="BA2" s="42">
        <v>44892</v>
      </c>
      <c r="BB2" s="42">
        <v>44893</v>
      </c>
      <c r="BC2" s="42">
        <v>44894</v>
      </c>
      <c r="BD2" s="42">
        <v>44895</v>
      </c>
      <c r="BE2" s="42">
        <v>44896</v>
      </c>
      <c r="BF2" s="42">
        <v>44897</v>
      </c>
      <c r="BG2" s="42">
        <v>44898</v>
      </c>
      <c r="BH2" s="42">
        <v>44899</v>
      </c>
      <c r="BI2" s="42">
        <v>44900</v>
      </c>
      <c r="BJ2" s="42">
        <v>44901</v>
      </c>
      <c r="BK2" s="42">
        <v>44902</v>
      </c>
      <c r="BL2" s="42">
        <v>44903</v>
      </c>
      <c r="BM2" s="42">
        <v>44904</v>
      </c>
      <c r="BN2" s="42">
        <v>44905</v>
      </c>
      <c r="BO2" s="42">
        <v>44906</v>
      </c>
      <c r="BP2" s="42">
        <v>44907</v>
      </c>
      <c r="BQ2" s="42">
        <v>44908</v>
      </c>
      <c r="BR2" s="42">
        <v>44909</v>
      </c>
      <c r="BS2" s="42">
        <v>44910</v>
      </c>
      <c r="BT2" s="42">
        <v>44911</v>
      </c>
      <c r="BU2" s="42">
        <v>44912</v>
      </c>
      <c r="BV2" s="42">
        <v>44913</v>
      </c>
      <c r="BW2" s="42">
        <v>44914</v>
      </c>
      <c r="BX2" s="42">
        <v>44915</v>
      </c>
      <c r="BY2" s="42">
        <v>44916</v>
      </c>
      <c r="BZ2" s="42">
        <v>44917</v>
      </c>
      <c r="CA2" s="42">
        <v>44918</v>
      </c>
      <c r="CB2" s="42">
        <v>44919</v>
      </c>
      <c r="CC2" s="219" t="s">
        <v>232</v>
      </c>
      <c r="CD2" s="219" t="s">
        <v>233</v>
      </c>
      <c r="CE2" s="219" t="s">
        <v>234</v>
      </c>
      <c r="CF2" s="219" t="s">
        <v>235</v>
      </c>
      <c r="CG2" s="219" t="s">
        <v>236</v>
      </c>
      <c r="CH2" s="219" t="s">
        <v>237</v>
      </c>
      <c r="CI2" s="42">
        <v>44926</v>
      </c>
      <c r="CJ2" s="42">
        <v>44927</v>
      </c>
      <c r="CK2" s="42">
        <v>44928</v>
      </c>
      <c r="CL2" s="42">
        <v>44929</v>
      </c>
      <c r="CM2" s="42">
        <v>44930</v>
      </c>
      <c r="CN2" s="42">
        <v>44931</v>
      </c>
      <c r="CO2" s="42">
        <v>44932</v>
      </c>
      <c r="CP2" s="42">
        <v>44933</v>
      </c>
      <c r="CQ2" s="42">
        <v>44934</v>
      </c>
      <c r="CR2" s="42">
        <v>44935</v>
      </c>
      <c r="CS2" s="42">
        <v>44936</v>
      </c>
      <c r="CT2" s="42">
        <v>44937</v>
      </c>
      <c r="CU2" s="43">
        <v>44938</v>
      </c>
    </row>
    <row r="3" spans="23:99" x14ac:dyDescent="0.4">
      <c r="W3" s="46" t="s">
        <v>105</v>
      </c>
      <c r="X3" s="65">
        <v>0.996</v>
      </c>
      <c r="Y3" s="66">
        <v>0.996</v>
      </c>
      <c r="Z3" s="66">
        <v>0.82371794871794868</v>
      </c>
      <c r="AA3" s="66">
        <v>0.99299474605954463</v>
      </c>
      <c r="AB3" s="66">
        <v>0.996</v>
      </c>
      <c r="AC3" s="66">
        <v>0.996</v>
      </c>
      <c r="AD3" s="66">
        <v>0.99299474605954463</v>
      </c>
      <c r="AE3" s="66">
        <v>0.99649122807017543</v>
      </c>
      <c r="AF3" s="66">
        <v>0.99649122807017543</v>
      </c>
      <c r="AG3" s="66">
        <v>0.99649122807017543</v>
      </c>
      <c r="AH3" s="66">
        <v>0.99649122807017543</v>
      </c>
      <c r="AI3" s="66">
        <v>0.98951048951048948</v>
      </c>
      <c r="AJ3" s="66">
        <v>0.99649122807017543</v>
      </c>
      <c r="AK3" s="66">
        <v>0.99649122807017543</v>
      </c>
      <c r="AL3" s="66">
        <v>0.99649122807017543</v>
      </c>
      <c r="AM3" s="66">
        <v>0.99299474605954463</v>
      </c>
      <c r="AN3" s="66">
        <v>0.98299999999999998</v>
      </c>
      <c r="AO3" s="66">
        <v>0.96899999999999997</v>
      </c>
      <c r="AP3" s="66">
        <v>0.99299474605954463</v>
      </c>
      <c r="AQ3" s="66">
        <v>0.99299474605954463</v>
      </c>
      <c r="AR3" s="66">
        <v>0.99647460595449999</v>
      </c>
      <c r="AS3" s="66">
        <v>0.99647460595449999</v>
      </c>
      <c r="AT3" s="66">
        <v>0.99299474605954463</v>
      </c>
      <c r="AU3" s="66">
        <v>0.98951048951048948</v>
      </c>
      <c r="AV3" s="66">
        <v>0.98951048951048948</v>
      </c>
      <c r="AW3" s="66">
        <v>0.99299474605954463</v>
      </c>
      <c r="AX3" s="66">
        <v>0.99299474605954463</v>
      </c>
      <c r="AY3" s="66">
        <v>0.99609474605954496</v>
      </c>
      <c r="AZ3" s="66">
        <v>0.99609474605954496</v>
      </c>
      <c r="BA3" s="66">
        <v>0.98951048951048948</v>
      </c>
      <c r="BB3" s="66">
        <v>0.99299474605954463</v>
      </c>
      <c r="BC3" s="66">
        <v>0.99299474605954463</v>
      </c>
      <c r="BD3" s="66">
        <v>0.99299474605954463</v>
      </c>
      <c r="BE3" s="66">
        <v>0.98951048951048948</v>
      </c>
      <c r="BF3" s="66">
        <v>0.98951048951048948</v>
      </c>
      <c r="BG3" s="66">
        <v>0.98951048951048948</v>
      </c>
      <c r="BH3" s="66">
        <v>0.98951048951048948</v>
      </c>
      <c r="BI3" s="66">
        <v>0.98951048951048948</v>
      </c>
      <c r="BJ3" s="66">
        <v>0.99649122807017543</v>
      </c>
      <c r="BK3" s="66">
        <v>0.98954703832752611</v>
      </c>
      <c r="BL3" s="66">
        <v>0.98954703832752611</v>
      </c>
      <c r="BM3" s="66">
        <v>0.98954703832752611</v>
      </c>
      <c r="BN3" s="66">
        <v>0.9826086956521739</v>
      </c>
      <c r="BO3" s="66">
        <v>0.9826086956521739</v>
      </c>
      <c r="BP3" s="66">
        <v>0.9826086956521739</v>
      </c>
      <c r="BQ3" s="66">
        <v>0.98606271777003485</v>
      </c>
      <c r="BR3" s="66">
        <v>0.98606271777003485</v>
      </c>
      <c r="BS3" s="66">
        <v>0.98608695652174005</v>
      </c>
      <c r="BT3" s="66">
        <v>0.98608695652174005</v>
      </c>
      <c r="BU3" s="66">
        <v>0.98608695652174005</v>
      </c>
      <c r="BV3" s="66">
        <v>0.9826086956521739</v>
      </c>
      <c r="BW3" s="66">
        <v>0.9826086956521739</v>
      </c>
      <c r="BX3" s="66">
        <v>0.98331833910034605</v>
      </c>
      <c r="BY3" s="66">
        <v>0.98299999999999998</v>
      </c>
      <c r="BZ3" s="66">
        <v>0.98606271777003485</v>
      </c>
      <c r="CA3" s="66">
        <v>0.98606271777003485</v>
      </c>
      <c r="CB3" s="118">
        <v>0.98606271777003485</v>
      </c>
      <c r="CC3" s="120">
        <v>0.97573656845753898</v>
      </c>
      <c r="CD3" s="121">
        <v>0.97231833910034604</v>
      </c>
      <c r="CE3" s="121">
        <v>0.97873656845753898</v>
      </c>
      <c r="CF3" s="121">
        <v>0.97916666666666663</v>
      </c>
      <c r="CG3" s="121">
        <v>0.9826086956521739</v>
      </c>
      <c r="CH3" s="121">
        <v>0.9826086956521739</v>
      </c>
      <c r="CI3" s="121">
        <v>0.9826086956521739</v>
      </c>
      <c r="CJ3" s="121">
        <v>0.9826086956521739</v>
      </c>
      <c r="CK3" s="121">
        <v>0.9826086956521739</v>
      </c>
      <c r="CL3" s="121">
        <v>0.9826086956521739</v>
      </c>
      <c r="CM3" s="121">
        <v>0.9826086956521739</v>
      </c>
      <c r="CN3" s="121"/>
      <c r="CO3" s="121"/>
      <c r="CP3" s="121"/>
      <c r="CQ3" s="121"/>
      <c r="CR3" s="121"/>
      <c r="CS3" s="121"/>
      <c r="CT3" s="121"/>
      <c r="CU3" s="122"/>
    </row>
    <row r="4" spans="23:99" x14ac:dyDescent="0.4">
      <c r="W4" s="39" t="s">
        <v>106</v>
      </c>
      <c r="X4" s="67">
        <v>1</v>
      </c>
      <c r="Y4" s="68">
        <v>1</v>
      </c>
      <c r="Z4" s="68">
        <v>1</v>
      </c>
      <c r="AA4" s="68">
        <v>0.98734177215189878</v>
      </c>
      <c r="AB4" s="68">
        <v>1</v>
      </c>
      <c r="AC4" s="68">
        <v>1</v>
      </c>
      <c r="AD4" s="68">
        <v>1</v>
      </c>
      <c r="AE4" s="68">
        <v>1</v>
      </c>
      <c r="AF4" s="68">
        <v>1</v>
      </c>
      <c r="AG4" s="68">
        <v>1</v>
      </c>
      <c r="AH4" s="68">
        <v>1</v>
      </c>
      <c r="AI4" s="68">
        <v>1</v>
      </c>
      <c r="AJ4" s="68">
        <v>1</v>
      </c>
      <c r="AK4" s="68">
        <v>1</v>
      </c>
      <c r="AL4" s="68">
        <v>1</v>
      </c>
      <c r="AM4" s="68">
        <v>0.98734177215189878</v>
      </c>
      <c r="AN4" s="68">
        <v>1</v>
      </c>
      <c r="AO4" s="68">
        <v>1</v>
      </c>
      <c r="AP4" s="68">
        <v>1</v>
      </c>
      <c r="AQ4" s="68">
        <v>1</v>
      </c>
      <c r="AR4" s="68">
        <v>1</v>
      </c>
      <c r="AS4" s="68">
        <v>1</v>
      </c>
      <c r="AT4" s="68">
        <v>0.98734177215189878</v>
      </c>
      <c r="AU4" s="68">
        <v>1</v>
      </c>
      <c r="AV4" s="68">
        <v>1</v>
      </c>
      <c r="AW4" s="68">
        <v>1</v>
      </c>
      <c r="AX4" s="68">
        <v>0.98717948717948723</v>
      </c>
      <c r="AY4" s="68">
        <v>0.98717948717948723</v>
      </c>
      <c r="AZ4" s="68">
        <v>0.98717948717948723</v>
      </c>
      <c r="BA4" s="68">
        <v>0.98717948717948723</v>
      </c>
      <c r="BB4" s="68">
        <v>0.98717948717948723</v>
      </c>
      <c r="BC4" s="68">
        <v>0.98717948717948723</v>
      </c>
      <c r="BD4" s="68">
        <v>0.98717948717948723</v>
      </c>
      <c r="BE4" s="68">
        <v>0.98717948717948723</v>
      </c>
      <c r="BF4" s="68">
        <v>0.98717948717948723</v>
      </c>
      <c r="BG4" s="68">
        <v>0.98717948717948723</v>
      </c>
      <c r="BH4" s="68">
        <v>0.98717948717948723</v>
      </c>
      <c r="BI4" s="68">
        <v>0.98717948717948723</v>
      </c>
      <c r="BJ4" s="68">
        <v>1</v>
      </c>
      <c r="BK4" s="68">
        <v>1</v>
      </c>
      <c r="BL4" s="68">
        <v>1</v>
      </c>
      <c r="BM4" s="68">
        <v>1</v>
      </c>
      <c r="BN4" s="68">
        <v>1</v>
      </c>
      <c r="BO4" s="68">
        <v>1</v>
      </c>
      <c r="BP4" s="68">
        <v>1</v>
      </c>
      <c r="BQ4" s="68">
        <v>0.98734177215189878</v>
      </c>
      <c r="BR4" s="68">
        <v>1</v>
      </c>
      <c r="BS4" s="68">
        <v>1</v>
      </c>
      <c r="BT4" s="68">
        <v>1</v>
      </c>
      <c r="BU4" s="68">
        <v>1</v>
      </c>
      <c r="BV4" s="68">
        <v>1</v>
      </c>
      <c r="BW4" s="68">
        <v>1</v>
      </c>
      <c r="BX4" s="68">
        <v>1</v>
      </c>
      <c r="BY4" s="68">
        <v>1</v>
      </c>
      <c r="BZ4" s="68">
        <v>1</v>
      </c>
      <c r="CA4" s="68">
        <v>1</v>
      </c>
      <c r="CB4" s="119">
        <v>1</v>
      </c>
      <c r="CC4" s="123">
        <v>1</v>
      </c>
      <c r="CD4" s="68">
        <v>1</v>
      </c>
      <c r="CE4" s="68">
        <v>1</v>
      </c>
      <c r="CF4" s="68">
        <v>1</v>
      </c>
      <c r="CG4" s="68">
        <v>1</v>
      </c>
      <c r="CH4" s="68">
        <v>1</v>
      </c>
      <c r="CI4" s="68">
        <v>1</v>
      </c>
      <c r="CJ4" s="68">
        <v>1</v>
      </c>
      <c r="CK4" s="68">
        <v>1</v>
      </c>
      <c r="CL4" s="68">
        <v>1</v>
      </c>
      <c r="CM4" s="68">
        <v>1</v>
      </c>
      <c r="CN4" s="68"/>
      <c r="CO4" s="68"/>
      <c r="CP4" s="68"/>
      <c r="CQ4" s="68"/>
      <c r="CR4" s="68"/>
      <c r="CS4" s="68"/>
      <c r="CT4" s="68"/>
      <c r="CU4" s="124"/>
    </row>
    <row r="5" spans="23:99" x14ac:dyDescent="0.4">
      <c r="W5" s="39" t="s">
        <v>107</v>
      </c>
      <c r="X5" s="67">
        <v>1</v>
      </c>
      <c r="Y5" s="68">
        <v>1</v>
      </c>
      <c r="Z5" s="68">
        <v>1</v>
      </c>
      <c r="AA5" s="68">
        <v>1</v>
      </c>
      <c r="AB5" s="68">
        <v>1</v>
      </c>
      <c r="AC5" s="68">
        <v>1</v>
      </c>
      <c r="AD5" s="68">
        <v>1</v>
      </c>
      <c r="AE5" s="68">
        <v>0.99290780141843971</v>
      </c>
      <c r="AF5" s="68">
        <v>1</v>
      </c>
      <c r="AG5" s="68">
        <v>1</v>
      </c>
      <c r="AH5" s="68">
        <v>0.99290780141843971</v>
      </c>
      <c r="AI5" s="68">
        <v>1</v>
      </c>
      <c r="AJ5" s="68">
        <v>1</v>
      </c>
      <c r="AK5" s="68">
        <v>1</v>
      </c>
      <c r="AL5" s="68">
        <v>1</v>
      </c>
      <c r="AM5" s="68">
        <v>0.99290780141843971</v>
      </c>
      <c r="AN5" s="68">
        <v>1</v>
      </c>
      <c r="AO5" s="68">
        <v>1</v>
      </c>
      <c r="AP5" s="68">
        <v>1</v>
      </c>
      <c r="AQ5" s="68">
        <v>1</v>
      </c>
      <c r="AR5" s="68">
        <v>1</v>
      </c>
      <c r="AS5" s="68">
        <v>1</v>
      </c>
      <c r="AT5" s="68">
        <v>1</v>
      </c>
      <c r="AU5" s="68">
        <v>1</v>
      </c>
      <c r="AV5" s="68">
        <v>1</v>
      </c>
      <c r="AW5" s="68">
        <v>1</v>
      </c>
      <c r="AX5" s="68">
        <v>1</v>
      </c>
      <c r="AY5" s="68">
        <v>1</v>
      </c>
      <c r="AZ5" s="68">
        <v>1</v>
      </c>
      <c r="BA5" s="68">
        <v>1</v>
      </c>
      <c r="BB5" s="68">
        <v>1</v>
      </c>
      <c r="BC5" s="68">
        <v>1</v>
      </c>
      <c r="BD5" s="68">
        <v>1</v>
      </c>
      <c r="BE5" s="68">
        <v>1</v>
      </c>
      <c r="BF5" s="68">
        <v>1</v>
      </c>
      <c r="BG5" s="68">
        <v>1</v>
      </c>
      <c r="BH5" s="68">
        <v>1</v>
      </c>
      <c r="BI5" s="68">
        <v>1</v>
      </c>
      <c r="BJ5" s="68">
        <v>1</v>
      </c>
      <c r="BK5" s="68">
        <v>1</v>
      </c>
      <c r="BL5" s="68">
        <v>1</v>
      </c>
      <c r="BM5" s="68">
        <v>1</v>
      </c>
      <c r="BN5" s="68">
        <v>1</v>
      </c>
      <c r="BO5" s="68">
        <v>1</v>
      </c>
      <c r="BP5" s="68">
        <v>1</v>
      </c>
      <c r="BQ5" s="68">
        <v>1</v>
      </c>
      <c r="BR5" s="68">
        <v>1</v>
      </c>
      <c r="BS5" s="68">
        <v>1</v>
      </c>
      <c r="BT5" s="68">
        <v>1</v>
      </c>
      <c r="BU5" s="68">
        <v>1</v>
      </c>
      <c r="BV5" s="68">
        <v>1</v>
      </c>
      <c r="BW5" s="68">
        <v>1</v>
      </c>
      <c r="BX5" s="68">
        <v>1</v>
      </c>
      <c r="BY5" s="68">
        <v>1</v>
      </c>
      <c r="BZ5" s="68">
        <v>1</v>
      </c>
      <c r="CA5" s="68">
        <v>1</v>
      </c>
      <c r="CB5" s="119">
        <v>1</v>
      </c>
      <c r="CC5" s="123">
        <v>0.98581560283687941</v>
      </c>
      <c r="CD5" s="68">
        <v>0.98581560283687941</v>
      </c>
      <c r="CE5" s="68">
        <v>0.99290780141843971</v>
      </c>
      <c r="CF5" s="68">
        <v>0.99290780141843971</v>
      </c>
      <c r="CG5" s="68">
        <v>1</v>
      </c>
      <c r="CH5" s="68">
        <v>1</v>
      </c>
      <c r="CI5" s="68">
        <v>1</v>
      </c>
      <c r="CJ5" s="68">
        <v>1</v>
      </c>
      <c r="CK5" s="68">
        <v>1</v>
      </c>
      <c r="CL5" s="68">
        <v>1</v>
      </c>
      <c r="CM5" s="68">
        <v>1</v>
      </c>
      <c r="CN5" s="68"/>
      <c r="CO5" s="68"/>
      <c r="CP5" s="68"/>
      <c r="CQ5" s="68"/>
      <c r="CR5" s="68"/>
      <c r="CS5" s="68"/>
      <c r="CT5" s="68"/>
      <c r="CU5" s="124"/>
    </row>
    <row r="6" spans="23:99" ht="17.5" thickBot="1" x14ac:dyDescent="0.45">
      <c r="W6" s="40" t="s">
        <v>197</v>
      </c>
      <c r="X6" s="67">
        <v>1</v>
      </c>
      <c r="Y6" s="68">
        <v>1</v>
      </c>
      <c r="Z6" s="68">
        <v>1</v>
      </c>
      <c r="AA6" s="68">
        <v>1</v>
      </c>
      <c r="AB6" s="68">
        <v>1</v>
      </c>
      <c r="AC6" s="68">
        <v>1</v>
      </c>
      <c r="AD6" s="68">
        <v>1</v>
      </c>
      <c r="AE6" s="68">
        <v>0.99290780141843971</v>
      </c>
      <c r="AF6" s="68">
        <v>1</v>
      </c>
      <c r="AG6" s="68">
        <v>1</v>
      </c>
      <c r="AH6" s="68">
        <v>0.99290780141843971</v>
      </c>
      <c r="AI6" s="68">
        <v>1</v>
      </c>
      <c r="AJ6" s="68">
        <v>1</v>
      </c>
      <c r="AK6" s="68">
        <v>1</v>
      </c>
      <c r="AL6" s="68">
        <v>1</v>
      </c>
      <c r="AM6" s="68">
        <v>0.99290780141843971</v>
      </c>
      <c r="AN6" s="68">
        <v>1</v>
      </c>
      <c r="AO6" s="68">
        <v>1</v>
      </c>
      <c r="AP6" s="68">
        <v>1</v>
      </c>
      <c r="AQ6" s="68">
        <v>1</v>
      </c>
      <c r="AR6" s="68">
        <v>1</v>
      </c>
      <c r="AS6" s="68">
        <v>1</v>
      </c>
      <c r="AT6" s="68">
        <v>1</v>
      </c>
      <c r="AU6" s="68">
        <v>1</v>
      </c>
      <c r="AV6" s="68">
        <v>1</v>
      </c>
      <c r="AW6" s="68">
        <v>1</v>
      </c>
      <c r="AX6" s="68">
        <v>1</v>
      </c>
      <c r="AY6" s="68">
        <v>1</v>
      </c>
      <c r="AZ6" s="68">
        <v>1</v>
      </c>
      <c r="BA6" s="68">
        <v>1</v>
      </c>
      <c r="BB6" s="68">
        <v>1</v>
      </c>
      <c r="BC6" s="68">
        <v>1</v>
      </c>
      <c r="BD6" s="68">
        <v>1</v>
      </c>
      <c r="BE6" s="68">
        <v>1</v>
      </c>
      <c r="BF6" s="68">
        <v>1</v>
      </c>
      <c r="BG6" s="68">
        <v>1</v>
      </c>
      <c r="BH6" s="68">
        <v>1</v>
      </c>
      <c r="BI6" s="68">
        <v>1</v>
      </c>
      <c r="BJ6" s="68">
        <v>1</v>
      </c>
      <c r="BK6" s="68">
        <v>1</v>
      </c>
      <c r="BL6" s="68">
        <v>1</v>
      </c>
      <c r="BM6" s="68">
        <v>1</v>
      </c>
      <c r="BN6" s="68">
        <v>1</v>
      </c>
      <c r="BO6" s="68">
        <v>1</v>
      </c>
      <c r="BP6" s="68">
        <v>1</v>
      </c>
      <c r="BQ6" s="68">
        <v>1</v>
      </c>
      <c r="BR6" s="68">
        <v>1</v>
      </c>
      <c r="BS6" s="68">
        <v>1</v>
      </c>
      <c r="BT6" s="68">
        <v>1</v>
      </c>
      <c r="BU6" s="68">
        <v>1</v>
      </c>
      <c r="BV6" s="68">
        <v>1</v>
      </c>
      <c r="BW6" s="68">
        <v>1</v>
      </c>
      <c r="BX6" s="68">
        <v>1</v>
      </c>
      <c r="BY6" s="68">
        <v>1</v>
      </c>
      <c r="BZ6" s="68">
        <v>1</v>
      </c>
      <c r="CA6" s="68">
        <v>1</v>
      </c>
      <c r="CB6" s="119">
        <v>1</v>
      </c>
      <c r="CC6" s="125">
        <v>0.98581560283687941</v>
      </c>
      <c r="CD6" s="69">
        <v>0.98581560283687941</v>
      </c>
      <c r="CE6" s="69">
        <v>0.99290780141843971</v>
      </c>
      <c r="CF6" s="69">
        <v>0.99290780141843971</v>
      </c>
      <c r="CG6" s="69">
        <v>1</v>
      </c>
      <c r="CH6" s="69">
        <v>1</v>
      </c>
      <c r="CI6" s="69">
        <v>1</v>
      </c>
      <c r="CJ6" s="69">
        <v>1</v>
      </c>
      <c r="CK6" s="69">
        <v>1</v>
      </c>
      <c r="CL6" s="69">
        <v>1</v>
      </c>
      <c r="CM6" s="69">
        <v>1</v>
      </c>
      <c r="CN6" s="69"/>
      <c r="CO6" s="69"/>
      <c r="CP6" s="69"/>
      <c r="CQ6" s="69"/>
      <c r="CR6" s="69"/>
      <c r="CS6" s="69"/>
      <c r="CT6" s="69"/>
      <c r="CU6" s="126"/>
    </row>
  </sheetData>
  <phoneticPr fontId="18" type="noConversion"/>
  <pageMargins left="0.7" right="0.7" top="0.75" bottom="0.75" header="0.3" footer="0.3"/>
  <pageSetup paperSize="9" orientation="portrait" horizontalDpi="90" verticalDpi="90" r:id="rId1"/>
  <headerFooter>
    <oddHeader>&amp;RASE Confidential / Security-C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C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彙整資料</vt:lpstr>
      <vt:lpstr>妥善率(K18.K21.K25 不停電)</vt:lpstr>
      <vt:lpstr>百分比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曾斐敏</dc:creator>
  <cp:keywords>Security C</cp:keywords>
  <dc:description>Security C</dc:description>
  <cp:lastModifiedBy>王利哲</cp:lastModifiedBy>
  <dcterms:created xsi:type="dcterms:W3CDTF">2018-04-06T03:49:52Z</dcterms:created>
  <dcterms:modified xsi:type="dcterms:W3CDTF">2026-01-06T01:45:39Z</dcterms:modified>
</cp:coreProperties>
</file>